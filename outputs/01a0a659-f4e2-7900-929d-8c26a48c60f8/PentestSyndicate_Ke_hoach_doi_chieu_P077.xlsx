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d07004619e4a3f" /></Relationships>
</file>

<file path=xl/workbook.xml><?xml version="1.0" encoding="utf-8"?>
<x:workbook xmlns:x="http://schemas.openxmlformats.org/spreadsheetml/2006/main">
  <x:sheets>
    <x:sheet xmlns:r="http://schemas.openxmlformats.org/officeDocument/2006/relationships" name="Tong quan" sheetId="1" r:id="R5efe6c61cbd24b60"/>
    <x:sheet xmlns:r="http://schemas.openxmlformats.org/officeDocument/2006/relationships" name="PM" sheetId="2" r:id="Rff1b1e3f5f5e42fd"/>
    <x:sheet xmlns:r="http://schemas.openxmlformats.org/officeDocument/2006/relationships" name="BA" sheetId="3" r:id="R0f30113713254f4f"/>
    <x:sheet xmlns:r="http://schemas.openxmlformats.org/officeDocument/2006/relationships" name="Dev1" sheetId="4" r:id="R424eaaa7c85c431c"/>
    <x:sheet xmlns:r="http://schemas.openxmlformats.org/officeDocument/2006/relationships" name="Dev2" sheetId="5" r:id="Rb22e823316ce4680"/>
    <x:sheet xmlns:r="http://schemas.openxmlformats.org/officeDocument/2006/relationships" name="Checkpoint" sheetId="6" r:id="Rc327ed0fe1f54c2c"/>
    <x:sheet xmlns:r="http://schemas.openxmlformats.org/officeDocument/2006/relationships" name="Nghiem thu" sheetId="7" r:id="Ra0ba0df059104296"/>
    <x:sheet xmlns:r="http://schemas.openxmlformats.org/officeDocument/2006/relationships" name="Hien trang" sheetId="8" r:id="R232c2931849d4c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5">
    <x:font>
      <x:sz val="11"/>
      <x:name val="Carlito"/>
    </x:font>
    <x:font>
      <x:sz val="11"/>
      <x:color rgb="FF172B3A"/>
      <x:name val="Arial"/>
    </x:font>
    <x:font>
      <x:b/>
      <x:sz val="16"/>
      <x:color rgb="FF183852"/>
      <x:name val="Arial"/>
    </x:font>
    <x:font>
      <x:b/>
      <x:sz val="11"/>
      <x:color rgb="FFFFFFFF"/>
      <x:name val="Arial"/>
    </x:font>
    <x:font>
      <x:b/>
      <x:sz val="13"/>
      <x:color rgb="FF183852"/>
      <x:name val="Arial"/>
    </x:font>
  </x:fonts>
  <x:fills count="8">
    <x:fill>
      <x:patternFill patternType="none"/>
    </x:fill>
    <x:fill>
      <x:patternFill patternType="gray125"/>
    </x:fill>
    <x:fill>
      <x:patternFill patternType="solid">
        <x:fgColor rgb="FFFFF2CC"/>
      </x:patternFill>
    </x:fill>
    <x:fill>
      <x:patternFill patternType="solid">
        <x:fgColor rgb="FF183852"/>
      </x:patternFill>
    </x:fill>
    <x:fill>
      <x:patternFill patternType="solid">
        <x:fgColor rgb="FFF0F4F8"/>
      </x:patternFill>
    </x:fill>
    <x:fill>
      <x:patternFill patternType="solid">
        <x:fgColor rgb="FF183852"/>
      </x:patternFill>
    </x:fill>
    <x:fill>
      <x:patternFill patternType="solid">
        <x:fgColor rgb="FFF0F4F8"/>
      </x:patternFill>
    </x:fill>
    <x:fill>
      <x:patternFill patternType="solid">
        <x:fgColor rgb="FFFFF2CC"/>
      </x:patternFill>
    </x:fill>
  </x:fills>
  <x:borders count="3">
    <x:border/>
    <x:border>
      <x:bottom style="thin">
        <x:color rgb="FFD6DEE6"/>
      </x:bottom>
    </x:border>
    <x:border>
      <x:top style="thin">
        <x:color rgb="FFD6DEE6"/>
      </x:top>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vertical="center"/>
    </x:xf>
    <x:xf numFmtId="201" fontId="1"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2" xfId="0" applyNumberFormat="1" applyFont="1" applyFill="1" applyBorder="1" applyAlignment="1">
      <x:alignment horizontal="center" vertical="top" wrapText="1"/>
    </x:xf>
    <x:xf numFmtId="200" fontId="1" fillId="0" borderId="2" xfId="0" applyNumberFormat="1" applyFont="1" applyFill="1" applyBorder="1" applyAlignment="1">
      <x:alignment horizontal="center" vertical="top" wrapText="1"/>
    </x:xf>
    <x:xf numFmtId="0" fontId="1" fillId="2" borderId="2"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3" fillId="5" borderId="0" xfId="0" applyNumberFormat="1" applyFont="1" applyFill="1" applyBorder="1" applyAlignment="1">
      <x:alignment horizontal="center"/>
    </x:xf>
    <x:xf numFmtId="0" fontId="1" fillId="7" borderId="0" xfId="0" applyNumberFormat="1" applyFont="1" applyFill="1" applyBorder="1"/>
    <x:xf numFmtId="0" fontId="2" fillId="0" borderId="0" xfId="0" applyNumberFormat="1" applyFont="1" applyFill="1" applyBorder="1"/>
  </x:cellXfs>
  <x:cellStyles count="1">
    <x:cellStyle name="Normal" xfId="0"/>
  </x:cellStyles>
  <x:dxfs count="13">
    <x:dxf>
      <x:font>
        <x:b/>
        <x:color rgb="FF9C2424"/>
      </x:font>
      <x:fill>
        <x:patternFill>
          <x:bgColor rgb="FFFCE5E5"/>
        </x:patternFill>
      </x:fill>
    </x:dxf>
    <x:dxf>
      <x:font>
        <x:b/>
        <x:color rgb="FF9C2424"/>
      </x:font>
      <x:fill>
        <x:patternFill>
          <x:bgColor rgb="FFFCE5E5"/>
        </x:patternFill>
      </x:fill>
    </x:dxf>
    <x:dxf>
      <x:font>
        <x:b/>
        <x:color rgb="FF9C2424"/>
      </x:font>
      <x:fill>
        <x:patternFill>
          <x:bgColor rgb="FFFCE5E5"/>
        </x:patternFill>
      </x:fill>
    </x:dxf>
    <x:dxf>
      <x:font>
        <x:color rgb="FF9C2424"/>
      </x:font>
      <x:fill>
        <x:patternFill>
          <x:bgColor rgb="FFFCE5E5"/>
        </x:patternFill>
      </x:fill>
    </x:dxf>
    <x:dxf>
      <x:font>
        <x:b/>
        <x:color rgb="FF9C2424"/>
      </x:font>
      <x:fill>
        <x:patternFill>
          <x:bgColor rgb="FFFCE5E5"/>
        </x:patternFill>
      </x:fill>
    </x:dxf>
    <x:dxf>
      <x:font>
        <x:b/>
        <x:color rgb="FF9C2424"/>
      </x:font>
      <x:fill>
        <x:patternFill>
          <x:bgColor rgb="FFFCE5E5"/>
        </x:patternFill>
      </x:fill>
    </x:dxf>
    <x:dxf>
      <x:font>
        <x:color rgb="FF9C2424"/>
      </x:font>
      <x:fill>
        <x:patternFill>
          <x:bgColor rgb="FFFCE5E5"/>
        </x:patternFill>
      </x:fill>
    </x:dxf>
    <x:dxf>
      <x:font>
        <x:b/>
        <x:color rgb="FF9C2424"/>
      </x:font>
      <x:fill>
        <x:patternFill>
          <x:bgColor rgb="FFFCE5E5"/>
        </x:patternFill>
      </x:fill>
    </x:dxf>
    <x:dxf>
      <x:font>
        <x:b/>
        <x:color rgb="FF9C2424"/>
      </x:font>
      <x:fill>
        <x:patternFill>
          <x:bgColor rgb="FFFCE5E5"/>
        </x:patternFill>
      </x:fill>
    </x:dxf>
    <x:dxf>
      <x:font>
        <x:color rgb="FF9C2424"/>
      </x:font>
      <x:fill>
        <x:patternFill>
          <x:bgColor rgb="FFFCE5E5"/>
        </x:patternFill>
      </x:fill>
    </x:dxf>
    <x:dxf>
      <x:font>
        <x:b/>
        <x:color rgb="FF9C2424"/>
      </x:font>
      <x:fill>
        <x:patternFill>
          <x:bgColor rgb="FFFCE5E5"/>
        </x:patternFill>
      </x:fill>
    </x:dxf>
    <x:dxf>
      <x:font>
        <x:b/>
        <x:color rgb="FF9C2424"/>
      </x:font>
      <x:fill>
        <x:patternFill>
          <x:bgColor rgb="FFFCE5E5"/>
        </x:patternFill>
      </x:fill>
    </x:dxf>
    <x:dxf>
      <x:font>
        <x:color rgb="FF9C2424"/>
      </x:font>
      <x:fill>
        <x:patternFill>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695128cf9b4b2c" /><Relationship Type="http://schemas.openxmlformats.org/officeDocument/2006/relationships/theme" Target="/xl/theme/theme1.xml" Id="Ra475c1e1f45846d3" /><Relationship Type="http://schemas.openxmlformats.org/officeDocument/2006/relationships/sharedStrings" Target="/xl/sharedStrings.xml" Id="R886aa163897244ee" /><Relationship Type="http://schemas.openxmlformats.org/officeDocument/2006/relationships/worksheet" Target="/xl/worksheets/sheet1.xml" Id="R5efe6c61cbd24b60" /><Relationship Type="http://schemas.openxmlformats.org/officeDocument/2006/relationships/worksheet" Target="/xl/worksheets/sheet2.xml" Id="Rff1b1e3f5f5e42fd" /><Relationship Type="http://schemas.openxmlformats.org/officeDocument/2006/relationships/worksheet" Target="/xl/worksheets/sheet3.xml" Id="R0f30113713254f4f" /><Relationship Type="http://schemas.openxmlformats.org/officeDocument/2006/relationships/worksheet" Target="/xl/worksheets/sheet4.xml" Id="R424eaaa7c85c431c" /><Relationship Type="http://schemas.openxmlformats.org/officeDocument/2006/relationships/worksheet" Target="/xl/worksheets/sheet5.xml" Id="Rb22e823316ce4680" /><Relationship Type="http://schemas.openxmlformats.org/officeDocument/2006/relationships/worksheet" Target="/xl/worksheets/sheet6.xml" Id="Rc327ed0fe1f54c2c" /><Relationship Type="http://schemas.openxmlformats.org/officeDocument/2006/relationships/worksheet" Target="/xl/worksheets/sheet7.xml" Id="Ra0ba0df059104296" /><Relationship Type="http://schemas.openxmlformats.org/officeDocument/2006/relationships/worksheet" Target="/xl/worksheets/sheet8.xml" Id="R232c2931849d4c4c" /></Relationships>
</file>

<file path=xl/tables/table1.xml><?xml version="1.0" encoding="utf-8"?>
<x:table xmlns:x="http://schemas.openxmlformats.org/spreadsheetml/2006/main" id="1" name="PMTasks" displayName="PM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2.xml><?xml version="1.0" encoding="utf-8"?>
<x:table xmlns:x="http://schemas.openxmlformats.org/spreadsheetml/2006/main" id="2" name="BATasks" displayName="BA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3.xml><?xml version="1.0" encoding="utf-8"?>
<x:table xmlns:x="http://schemas.openxmlformats.org/spreadsheetml/2006/main" id="3" name="Dev1Tasks" displayName="Dev1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4.xml><?xml version="1.0" encoding="utf-8"?>
<x:table xmlns:x="http://schemas.openxmlformats.org/spreadsheetml/2006/main" id="4" name="Dev2Tasks" displayName="Dev2Tasks" ref="A7:O25" headerRowCount="1" totalsRowCount="0" totalsRowShown="0">
  <x:autoFilter ref="A7:O25"/>
  <x:tableColumns count="15">
    <x:tableColumn id="1" name="Mã việc"/>
    <x:tableColumn id="2" name="Tuần"/>
    <x:tableColumn id="3" name="Bắt đầu"/>
    <x:tableColumn id="4" name="Deadline"/>
    <x:tableColumn id="5" name="Giờ dự kiến"/>
    <x:tableColumn id="6" name="Công việc cần làm"/>
    <x:tableColumn id="7" name="Hoàn thành khi"/>
    <x:tableColumn id="8" name="Phụ thuộc"/>
    <x:tableColumn id="9" name="Người kiểm tra"/>
    <x:tableColumn id="10" name="Trạng thái"/>
    <x:tableColumn id="11" name="Kết quả kiểm tra"/>
    <x:tableColumn id="12" name="Liên kết bằng chứng"/>
    <x:tableColumn id="13" name="Giờ thực tế"/>
    <x:tableColumn id="14" name="Vướng mắc / cập nhật"/>
    <x:tableColumn id="15" name="Nghiệm thu"/>
  </x:tableColumns>
  <x:tableStyleInfo name="TableStyleLight9" showFirstColumn="0" showLastColumn="0" showRowStripes="1" showColumnStripes="0"/>
</x:table>
</file>

<file path=xl/tables/table5.xml><?xml version="1.0" encoding="utf-8"?>
<x:table xmlns:x="http://schemas.openxmlformats.org/spreadsheetml/2006/main" id="5" name="RepoAudit" displayName="RepoAudit" ref="A7:H25" headerRowCount="1" totalsRowCount="0" totalsRowShown="0">
  <x:tableColumns count="8">
    <x:tableColumn id="1" name="Mã"/>
    <x:tableColumn id="2" name="Hạng mục"/>
    <x:tableColumn id="3" name="Hiện trạng"/>
    <x:tableColumn id="4" name="Dữ kiện đã thấy / đo"/>
    <x:tableColumn id="5" name="Bằng chứng trong repo"/>
    <x:tableColumn id="6" name="Tác động tới kế hoạch"/>
    <x:tableColumn id="7" name="Việc liên quan"/>
    <x:tableColumn id="8" name="Giới hạn xác nhận"/>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a1868e0c6748c5" /></Relationships>
</file>

<file path=xl/worksheets/_rels/sheet3.xml.rels>&#65279;<?xml version="1.0" encoding="utf-8"?><Relationships xmlns="http://schemas.openxmlformats.org/package/2006/relationships"><Relationship Type="http://schemas.openxmlformats.org/officeDocument/2006/relationships/table" Target="/xl/tables/table2.xml" Id="R95e4cd4fe9c64746" /></Relationships>
</file>

<file path=xl/worksheets/_rels/sheet4.xml.rels>&#65279;<?xml version="1.0" encoding="utf-8"?><Relationships xmlns="http://schemas.openxmlformats.org/package/2006/relationships"><Relationship Type="http://schemas.openxmlformats.org/officeDocument/2006/relationships/table" Target="/xl/tables/table3.xml" Id="R57ef6225f743409d" /></Relationships>
</file>

<file path=xl/worksheets/_rels/sheet5.xml.rels>&#65279;<?xml version="1.0" encoding="utf-8"?><Relationships xmlns="http://schemas.openxmlformats.org/package/2006/relationships"><Relationship Type="http://schemas.openxmlformats.org/officeDocument/2006/relationships/table" Target="/xl/tables/table4.xml" Id="R7558897eee6e4d71" /></Relationships>
</file>

<file path=xl/worksheets/_rels/sheet8.xml.rels>&#65279;<?xml version="1.0" encoding="utf-8"?><Relationships xmlns="http://schemas.openxmlformats.org/package/2006/relationships"><Relationship Type="http://schemas.openxmlformats.org/officeDocument/2006/relationships/table" Target="/xl/tables/table5.xml" Id="R61bedb63f20241f1" /></Relationships>
</file>

<file path=xl/worksheets/sheet1.xml><?xml version="1.0" encoding="utf-8"?>
<x:worksheet xmlns:x="http://schemas.openxmlformats.org/spreadsheetml/2006/main">
  <x:sheetPr>
    <x:tabColor rgb="FF183852"/>
  </x:sheetPr>
  <x:sheetViews>
    <x:sheetView showGridLines="0" workbookViewId="0"/>
  </x:sheetViews>
  <x:sheetFormatPr defaultRowHeight="15"/>
  <x:cols>
    <x:col min="1" max="1" width="21.5" hidden="0" customWidth="1"/>
    <x:col min="2" max="2" width="14.5" hidden="0" customWidth="1"/>
    <x:col min="3" max="3" width="14.5" hidden="0" customWidth="1"/>
    <x:col min="4" max="4" width="14.5" hidden="0" customWidth="1"/>
    <x:col min="5" max="5" width="14.5" hidden="0" customWidth="1"/>
    <x:col min="6" max="6" width="14.5" hidden="0" customWidth="1"/>
    <x:col min="7" max="7" width="14.5" hidden="0" customWidth="1"/>
    <x:col min="8" max="8" width="17" hidden="0" customWidth="1"/>
    <x:col min="9" max="9" width="23.75" hidden="0" customWidth="1"/>
    <x:col min="10" max="10" width="22.5" hidden="0" customWidth="1"/>
  </x:cols>
  <x:sheetData>
    <x:row r="1" ht="24" customHeight="1">
      <x:c r="A1" s="2"/>
      <x:c r="B1" s="2"/>
      <x:c r="C1" s="2"/>
      <x:c r="D1" s="2"/>
      <x:c r="E1" s="2"/>
      <x:c r="F1" s="2"/>
      <x:c r="G1" s="2"/>
      <x:c r="H1" s="2"/>
      <x:c r="I1" s="2"/>
      <x:c r="J1" s="1"/>
    </x:row>
    <x:row r="2" ht="24" customHeight="1">
      <x:c r="A2" s="3" t="str">
        <x:v>PentestSyndicate | Kế hoạch đã đối chiếu P-077</x:v>
      </x:c>
      <x:c r="B2" s="2"/>
      <x:c r="C2" s="2"/>
      <x:c r="D2" s="2"/>
      <x:c r="E2" s="2"/>
      <x:c r="F2" s="2"/>
      <x:c r="G2" s="2"/>
      <x:c r="H2" s="2"/>
      <x:c r="I2" s="2"/>
      <x:c r="J2" s="1"/>
    </x:row>
    <x:row r="3" ht="24" customHeight="1">
      <x:c r="A3" s="4"/>
      <x:c r="B3" s="4"/>
      <x:c r="C3" s="4"/>
      <x:c r="D3" s="4"/>
      <x:c r="E3" s="4"/>
      <x:c r="F3" s="4"/>
      <x:c r="G3" s="4"/>
      <x:c r="H3" s="4"/>
      <x:c r="I3" s="4"/>
      <x:c r="J3" s="1"/>
    </x:row>
    <x:row r="4" ht="24" customHeight="1">
      <x:c r="A4" s="2" t="str">
        <x:v>Rà ngày 18/09/2026: khung mẫu chạy được; phần nghiệp vụ pentest chưa triển khai. Lịch 6 tuần vẫn là đề xuất.</x:v>
      </x:c>
      <x:c r="B4" s="2"/>
      <x:c r="C4" s="2"/>
      <x:c r="D4" s="2"/>
      <x:c r="E4" s="2"/>
      <x:c r="F4" s="2"/>
      <x:c r="G4" s="2"/>
      <x:c r="H4" s="2"/>
      <x:c r="I4" s="2"/>
      <x:c r="J4" s="1"/>
    </x:row>
    <x:row r="5" ht="24" customHeight="1">
      <x:c r="A5" s="2" t="str">
        <x:v>Ngày bắt đầu</x:v>
      </x:c>
      <x:c r="B5" s="6" t="n">
        <x:v>46286</x:v>
      </x:c>
      <x:c r="C5" s="2"/>
      <x:c r="D5" s="2" t="str">
        <x:v>Hạn kế hoạch</x:v>
      </x:c>
      <x:c r="E5" s="5" t="n">
        <x:f>WORKDAY('Tong quan'!$B$5-1,30)</x:f>
        <x:v>46325</x:v>
      </x:c>
      <x:c r="F5" s="2"/>
      <x:c r="G5" s="2"/>
      <x:c r="H5" s="2"/>
      <x:c r="I5" s="2"/>
      <x:c r="J5" s="1"/>
    </x:row>
    <x:row r="6" ht="24" customHeight="1">
      <x:c r="A6" s="2" t="str">
        <x:v>Họp/người/tuần (giờ)</x:v>
      </x:c>
      <x:c r="B6" s="7" t="n">
        <x:v>1.5</x:v>
      </x:c>
      <x:c r="C6" s="2"/>
      <x:c r="D6" s="2" t="str">
        <x:v>Mốc giờ</x:v>
      </x:c>
      <x:c r="E6" s="2" t="str">
        <x:v>18:00, giờ Việt Nam</x:v>
      </x:c>
      <x:c r="F6" s="2"/>
      <x:c r="G6" s="2"/>
      <x:c r="H6" s="2"/>
      <x:c r="I6" s="2"/>
      <x:c r="J6" s="1"/>
    </x:row>
    <x:row r="7" ht="24" customHeight="1">
      <x:c r="A7" s="2" t="str">
        <x:v>Dự phòng/người/tuần</x:v>
      </x:c>
      <x:c r="B7" s="7" t="n">
        <x:v>3</x:v>
      </x:c>
      <x:c r="C7" s="2"/>
      <x:c r="D7" s="2" t="str">
        <x:v>Lưu ý lịch</x:v>
      </x:c>
      <x:c r="E7" s="2" t="str">
        <x:v>Tính thứ Hai–thứ Sáu. Chưa trừ ngày nghỉ riêng của nhóm.</x:v>
      </x:c>
      <x:c r="F7" s="2"/>
      <x:c r="G7" s="2"/>
      <x:c r="H7" s="2"/>
      <x:c r="I7" s="2"/>
      <x:c r="J7" s="1"/>
    </x:row>
    <x:row r="8" ht="24" customHeight="1">
      <x:c r="A8" s="2" t="str">
        <x:v>Review/người/tuần</x:v>
      </x:c>
      <x:c r="B8" s="7" t="n">
        <x:v>2</x:v>
      </x:c>
      <x:c r="C8" s="2"/>
      <x:c r="D8" s="2"/>
      <x:c r="E8" s="2"/>
      <x:c r="F8" s="2"/>
      <x:c r="G8" s="2"/>
      <x:c r="H8" s="2"/>
      <x:c r="I8" s="2"/>
      <x:c r="J8" s="1"/>
    </x:row>
    <x:row r="9" ht="24" customHeight="1">
      <x:c r="A9" s="2"/>
      <x:c r="B9" s="2"/>
      <x:c r="C9" s="2"/>
      <x:c r="D9" s="2"/>
      <x:c r="E9" s="2"/>
      <x:c r="F9" s="2"/>
      <x:c r="G9" s="2"/>
      <x:c r="H9" s="2"/>
      <x:c r="I9" s="2"/>
      <x:c r="J9" s="1"/>
    </x:row>
    <x:row r="10" ht="38" customHeight="1">
      <x:c r="A10" s="11" t="str">
        <x:v>Người</x:v>
      </x:c>
      <x:c r="B10" s="11" t="str">
        <x:v>Việc (giờ)</x:v>
      </x:c>
      <x:c r="C10" s="11" t="str">
        <x:v>Họp/review (giờ)</x:v>
      </x:c>
      <x:c r="D10" s="11" t="str">
        <x:v>Dự phòng (giờ)</x:v>
      </x:c>
      <x:c r="E10" s="11" t="str">
        <x:v>Tổng (giờ)</x:v>
      </x:c>
      <x:c r="F10" s="11" t="str">
        <x:v>Đã nghiệm thu</x:v>
      </x:c>
      <x:c r="G10" s="11" t="str">
        <x:v>Bị chặn</x:v>
      </x:c>
      <x:c r="H10" s="11" t="str">
        <x:v>Tổng việc</x:v>
      </x:c>
      <x:c r="I10" s="11" t="str">
        <x:v>Vai trò</x:v>
      </x:c>
      <x:c r="J10" s="36" t="str">
        <x:v>Tên thành viên</x:v>
      </x:c>
    </x:row>
    <x:row r="11" ht="42" customHeight="1">
      <x:c r="A11" s="2" t="str">
        <x:v>PM</x:v>
      </x:c>
      <x:c r="B11" s="2" t="n">
        <x:f>SUM('PM'!$E$8:$E$25)</x:f>
        <x:v>56</x:v>
      </x:c>
      <x:c r="C11" s="2" t="n">
        <x:f>SUM($B$6,$B$8)*6</x:f>
        <x:v>21</x:v>
      </x:c>
      <x:c r="D11" s="2" t="n">
        <x:f>$B$7*6</x:f>
        <x:v>18</x:v>
      </x:c>
      <x:c r="E11" s="2" t="n">
        <x:f>SUM(B11:D11)</x:f>
        <x:v>95</x:v>
      </x:c>
      <x:c r="F11" s="13" t="n">
        <x:f>COUNTIFS('PM'!$O$8:$O$25,"Đã nghiệm thu")</x:f>
        <x:v>0</x:v>
      </x:c>
      <x:c r="G11" s="13" t="n">
        <x:f>COUNTIFS('PM'!$J$8:$J$25,"Bị chặn")</x:f>
        <x:v>0</x:v>
      </x:c>
      <x:c r="H11" s="13" t="n">
        <x:f>COUNTA('PM'!$A$8:$A$25)</x:f>
        <x:v>18</x:v>
      </x:c>
      <x:c r="I11" s="12" t="str">
        <x:v>Bạn: PM, hỗ trợ BA</x:v>
      </x:c>
      <x:c r="J11" s="37" t="str">
        <x:v>Điền tên PM</x:v>
      </x:c>
    </x:row>
    <x:row r="12" ht="42" customHeight="1">
      <x:c r="A12" s="2" t="str">
        <x:v>BA</x:v>
      </x:c>
      <x:c r="B12" s="2" t="n">
        <x:f>SUM('BA'!$E$8:$E$25)</x:f>
        <x:v>75</x:v>
      </x:c>
      <x:c r="C12" s="2" t="n">
        <x:f>SUM($B$6,$B$8)*6</x:f>
        <x:v>21</x:v>
      </x:c>
      <x:c r="D12" s="2" t="n">
        <x:f>$B$7*6</x:f>
        <x:v>18</x:v>
      </x:c>
      <x:c r="E12" s="2" t="n">
        <x:f>SUM(B12:D12)</x:f>
        <x:v>114</x:v>
      </x:c>
      <x:c r="F12" s="13" t="n">
        <x:f>COUNTIFS('BA'!$O$8:$O$25,"Đã nghiệm thu")</x:f>
        <x:v>0</x:v>
      </x:c>
      <x:c r="G12" s="13" t="n">
        <x:f>COUNTIFS('BA'!$J$8:$J$25,"Bị chặn")</x:f>
        <x:v>0</x:v>
      </x:c>
      <x:c r="H12" s="13" t="n">
        <x:f>COUNTA('BA'!$A$8:$A$25)</x:f>
        <x:v>18</x:v>
      </x:c>
      <x:c r="I12" s="12" t="str">
        <x:v>BA chính, kiểm thử nghiệp vụ</x:v>
      </x:c>
      <x:c r="J12" s="37" t="str">
        <x:v>Điền tên BA</x:v>
      </x:c>
    </x:row>
    <x:row r="13" ht="42" customHeight="1">
      <x:c r="A13" s="2" t="str">
        <x:v>Dev1</x:v>
      </x:c>
      <x:c r="B13" s="2" t="n">
        <x:f>SUM('Dev1'!$E$8:$E$25)</x:f>
        <x:v>76</x:v>
      </x:c>
      <x:c r="C13" s="2" t="n">
        <x:f>SUM($B$6,$B$8)*6</x:f>
        <x:v>21</x:v>
      </x:c>
      <x:c r="D13" s="2" t="n">
        <x:f>$B$7*6</x:f>
        <x:v>18</x:v>
      </x:c>
      <x:c r="E13" s="2" t="n">
        <x:f>SUM(B13:D13)</x:f>
        <x:v>115</x:v>
      </x:c>
      <x:c r="F13" s="13" t="n">
        <x:f>COUNTIFS('Dev1'!$O$8:$O$25,"Đã nghiệm thu")</x:f>
        <x:v>0</x:v>
      </x:c>
      <x:c r="G13" s="13" t="n">
        <x:f>COUNTIFS('Dev1'!$J$8:$J$25,"Bị chặn")</x:f>
        <x:v>0</x:v>
      </x:c>
      <x:c r="H13" s="13" t="n">
        <x:f>COUNTA('Dev1'!$A$8:$A$25)</x:f>
        <x:v>18</x:v>
      </x:c>
      <x:c r="I13" s="12" t="str">
        <x:v>Agent, công cụ, kiểm thử lõi</x:v>
      </x:c>
      <x:c r="J13" s="37" t="str">
        <x:v>Điền tên Dev 1</x:v>
      </x:c>
    </x:row>
    <x:row r="14" ht="42" customHeight="1">
      <x:c r="A14" s="2" t="str">
        <x:v>Dev2</x:v>
      </x:c>
      <x:c r="B14" s="2" t="n">
        <x:f>SUM('Dev2'!$E$8:$E$25)</x:f>
        <x:v>76</x:v>
      </x:c>
      <x:c r="C14" s="2" t="n">
        <x:f>SUM($B$6,$B$8)*6</x:f>
        <x:v>21</x:v>
      </x:c>
      <x:c r="D14" s="2" t="n">
        <x:f>$B$7*6</x:f>
        <x:v>18</x:v>
      </x:c>
      <x:c r="E14" s="2" t="n">
        <x:f>SUM(B14:D14)</x:f>
        <x:v>115</x:v>
      </x:c>
      <x:c r="F14" s="13" t="n">
        <x:f>COUNTIFS('Dev2'!$O$8:$O$25,"Đã nghiệm thu")</x:f>
        <x:v>0</x:v>
      </x:c>
      <x:c r="G14" s="13" t="n">
        <x:f>COUNTIFS('Dev2'!$J$8:$J$25,"Bị chặn")</x:f>
        <x:v>0</x:v>
      </x:c>
      <x:c r="H14" s="13" t="n">
        <x:f>COUNTA('Dev2'!$A$8:$A$25)</x:f>
        <x:v>18</x:v>
      </x:c>
      <x:c r="I14" s="12" t="str">
        <x:v>UI, API, dữ liệu, triển khai</x:v>
      </x:c>
      <x:c r="J14" s="37" t="str">
        <x:v>Điền tên Dev 2</x:v>
      </x:c>
    </x:row>
    <x:row r="15" ht="24" customHeight="1">
      <x:c r="A15" s="2"/>
      <x:c r="B15" s="2"/>
      <x:c r="C15" s="2"/>
      <x:c r="D15" s="2"/>
      <x:c r="E15" s="2"/>
      <x:c r="F15" s="2"/>
      <x:c r="G15" s="2"/>
      <x:c r="H15" s="2"/>
      <x:c r="I15" s="2"/>
      <x:c r="J15" s="1"/>
    </x:row>
    <x:row r="16" ht="24" customHeight="1">
      <x:c r="A16" s="2"/>
      <x:c r="B16" s="2"/>
      <x:c r="C16" s="2"/>
      <x:c r="D16" s="2"/>
      <x:c r="E16" s="2"/>
      <x:c r="F16" s="2"/>
      <x:c r="G16" s="2"/>
      <x:c r="H16" s="2"/>
      <x:c r="I16" s="2"/>
      <x:c r="J16" s="1"/>
    </x:row>
    <x:row r="17" ht="38" customHeight="1">
      <x:c r="A17" s="11" t="str">
        <x:v>Tải công việc</x:v>
      </x:c>
      <x:c r="B17" s="11" t="str">
        <x:v>Tuần 1</x:v>
      </x:c>
      <x:c r="C17" s="11" t="str">
        <x:v>Tuần 2</x:v>
      </x:c>
      <x:c r="D17" s="11" t="str">
        <x:v>Tuần 3</x:v>
      </x:c>
      <x:c r="E17" s="11" t="str">
        <x:v>Tuần 4</x:v>
      </x:c>
      <x:c r="F17" s="11" t="str">
        <x:v>Tuần 5</x:v>
      </x:c>
      <x:c r="G17" s="11" t="str">
        <x:v>Tuần 6</x:v>
      </x:c>
      <x:c r="H17" s="11" t="str">
        <x:v>Giờ/tuần cam kết</x:v>
      </x:c>
      <x:c r="I17" s="11" t="str">
        <x:v>Tuần vượt mức</x:v>
      </x:c>
      <x:c r="J17" s="1"/>
    </x:row>
    <x:row r="18" ht="24" customHeight="1">
      <x:c r="A18" s="2" t="str">
        <x:v>PM</x:v>
      </x:c>
      <x:c r="B18" s="14" t="n">
        <x:f>SUMIFS('PM'!$E$8:$E$25,'PM'!$B$8:$B$25,1)+SUM($B$6:$B$8)</x:f>
        <x:v>16.5</x:v>
      </x:c>
      <x:c r="C18" s="14" t="n">
        <x:f>SUMIFS('PM'!$E$8:$E$25,'PM'!$B$8:$B$25,2)+SUM($B$6:$B$8)</x:f>
        <x:v>15.5</x:v>
      </x:c>
      <x:c r="D18" s="14" t="n">
        <x:f>SUMIFS('PM'!$E$8:$E$25,'PM'!$B$8:$B$25,3)+SUM($B$6:$B$8)</x:f>
        <x:v>15.5</x:v>
      </x:c>
      <x:c r="E18" s="14" t="n">
        <x:f>SUMIFS('PM'!$E$8:$E$25,'PM'!$B$8:$B$25,4)+SUM($B$6:$B$8)</x:f>
        <x:v>15.5</x:v>
      </x:c>
      <x:c r="F18" s="14" t="n">
        <x:f>SUMIFS('PM'!$E$8:$E$25,'PM'!$B$8:$B$25,5)+SUM($B$6:$B$8)</x:f>
        <x:v>15.5</x:v>
      </x:c>
      <x:c r="G18" s="14" t="n">
        <x:f>SUMIFS('PM'!$E$8:$E$25,'PM'!$B$8:$B$25,6)+SUM($B$6:$B$8)</x:f>
        <x:v>16.5</x:v>
      </x:c>
      <x:c r="H18" s="15" t="n">
        <x:v>20</x:v>
      </x:c>
      <x:c r="I18" s="2" t="n">
        <x:f>COUNTIFS(B18:G18,"&gt;"&amp;H18)</x:f>
        <x:v>0</x:v>
      </x:c>
      <x:c r="J18" s="1"/>
    </x:row>
    <x:row r="19" ht="24" customHeight="1">
      <x:c r="A19" s="2" t="str">
        <x:v>BA</x:v>
      </x:c>
      <x:c r="B19" s="14" t="n">
        <x:f>SUMIFS('BA'!$E$8:$E$25,'BA'!$B$8:$B$25,1)+SUM($B$6:$B$8)</x:f>
        <x:v>19.5</x:v>
      </x:c>
      <x:c r="C19" s="14" t="n">
        <x:f>SUMIFS('BA'!$E$8:$E$25,'BA'!$B$8:$B$25,2)+SUM($B$6:$B$8)</x:f>
        <x:v>18.5</x:v>
      </x:c>
      <x:c r="D19" s="14" t="n">
        <x:f>SUMIFS('BA'!$E$8:$E$25,'BA'!$B$8:$B$25,3)+SUM($B$6:$B$8)</x:f>
        <x:v>19.5</x:v>
      </x:c>
      <x:c r="E19" s="14" t="n">
        <x:f>SUMIFS('BA'!$E$8:$E$25,'BA'!$B$8:$B$25,4)+SUM($B$6:$B$8)</x:f>
        <x:v>19.5</x:v>
      </x:c>
      <x:c r="F19" s="14" t="n">
        <x:f>SUMIFS('BA'!$E$8:$E$25,'BA'!$B$8:$B$25,5)+SUM($B$6:$B$8)</x:f>
        <x:v>19.5</x:v>
      </x:c>
      <x:c r="G19" s="14" t="n">
        <x:f>SUMIFS('BA'!$E$8:$E$25,'BA'!$B$8:$B$25,6)+SUM($B$6:$B$8)</x:f>
        <x:v>17.5</x:v>
      </x:c>
      <x:c r="H19" s="15" t="n">
        <x:v>20</x:v>
      </x:c>
      <x:c r="I19" s="2" t="n">
        <x:f>COUNTIFS(B19:G19,"&gt;"&amp;H19)</x:f>
        <x:v>0</x:v>
      </x:c>
      <x:c r="J19" s="1"/>
    </x:row>
    <x:row r="20" ht="24" customHeight="1">
      <x:c r="A20" s="2" t="str">
        <x:v>Dev1</x:v>
      </x:c>
      <x:c r="B20" s="14" t="n">
        <x:f>SUMIFS('Dev1'!$E$8:$E$25,'Dev1'!$B$8:$B$25,1)+SUM($B$6:$B$8)</x:f>
        <x:v>19.5</x:v>
      </x:c>
      <x:c r="C20" s="14" t="n">
        <x:f>SUMIFS('Dev1'!$E$8:$E$25,'Dev1'!$B$8:$B$25,2)+SUM($B$6:$B$8)</x:f>
        <x:v>19.5</x:v>
      </x:c>
      <x:c r="D20" s="14" t="n">
        <x:f>SUMIFS('Dev1'!$E$8:$E$25,'Dev1'!$B$8:$B$25,3)+SUM($B$6:$B$8)</x:f>
        <x:v>19.5</x:v>
      </x:c>
      <x:c r="E20" s="14" t="n">
        <x:f>SUMIFS('Dev1'!$E$8:$E$25,'Dev1'!$B$8:$B$25,4)+SUM($B$6:$B$8)</x:f>
        <x:v>19.5</x:v>
      </x:c>
      <x:c r="F20" s="14" t="n">
        <x:f>SUMIFS('Dev1'!$E$8:$E$25,'Dev1'!$B$8:$B$25,5)+SUM($B$6:$B$8)</x:f>
        <x:v>19.5</x:v>
      </x:c>
      <x:c r="G20" s="14" t="n">
        <x:f>SUMIFS('Dev1'!$E$8:$E$25,'Dev1'!$B$8:$B$25,6)+SUM($B$6:$B$8)</x:f>
        <x:v>17.5</x:v>
      </x:c>
      <x:c r="H20" s="15" t="n">
        <x:v>20</x:v>
      </x:c>
      <x:c r="I20" s="2" t="n">
        <x:f>COUNTIFS(B20:G20,"&gt;"&amp;H20)</x:f>
        <x:v>0</x:v>
      </x:c>
      <x:c r="J20" s="1"/>
    </x:row>
    <x:row r="21" ht="24" customHeight="1">
      <x:c r="A21" s="2" t="str">
        <x:v>Dev2</x:v>
      </x:c>
      <x:c r="B21" s="14" t="n">
        <x:f>SUMIFS('Dev2'!$E$8:$E$25,'Dev2'!$B$8:$B$25,1)+SUM($B$6:$B$8)</x:f>
        <x:v>19.5</x:v>
      </x:c>
      <x:c r="C21" s="14" t="n">
        <x:f>SUMIFS('Dev2'!$E$8:$E$25,'Dev2'!$B$8:$B$25,2)+SUM($B$6:$B$8)</x:f>
        <x:v>19.5</x:v>
      </x:c>
      <x:c r="D21" s="14" t="n">
        <x:f>SUMIFS('Dev2'!$E$8:$E$25,'Dev2'!$B$8:$B$25,3)+SUM($B$6:$B$8)</x:f>
        <x:v>19.5</x:v>
      </x:c>
      <x:c r="E21" s="14" t="n">
        <x:f>SUMIFS('Dev2'!$E$8:$E$25,'Dev2'!$B$8:$B$25,4)+SUM($B$6:$B$8)</x:f>
        <x:v>19.5</x:v>
      </x:c>
      <x:c r="F21" s="14" t="n">
        <x:f>SUMIFS('Dev2'!$E$8:$E$25,'Dev2'!$B$8:$B$25,5)+SUM($B$6:$B$8)</x:f>
        <x:v>19.5</x:v>
      </x:c>
      <x:c r="G21" s="14" t="n">
        <x:f>SUMIFS('Dev2'!$E$8:$E$25,'Dev2'!$B$8:$B$25,6)+SUM($B$6:$B$8)</x:f>
        <x:v>17.5</x:v>
      </x:c>
      <x:c r="H21" s="15" t="n">
        <x:v>20</x:v>
      </x:c>
      <x:c r="I21" s="2" t="n">
        <x:f>COUNTIFS(B21:G21,"&gt;"&amp;H21)</x:f>
        <x:v>0</x:v>
      </x:c>
      <x:c r="J21" s="1"/>
    </x:row>
    <x:row r="22" ht="24" customHeight="1">
      <x:c r="A22" s="2"/>
      <x:c r="B22" s="2"/>
      <x:c r="C22" s="2"/>
      <x:c r="D22" s="2"/>
      <x:c r="E22" s="2"/>
      <x:c r="F22" s="2"/>
      <x:c r="G22" s="2"/>
      <x:c r="H22" s="2"/>
      <x:c r="I22" s="2"/>
      <x:c r="J22" s="1"/>
    </x:row>
    <x:row r="23" ht="24" customHeight="1">
      <x:c r="A23" s="2"/>
      <x:c r="B23" s="2"/>
      <x:c r="C23" s="2"/>
      <x:c r="D23" s="2"/>
      <x:c r="E23" s="2"/>
      <x:c r="F23" s="2"/>
      <x:c r="G23" s="2"/>
      <x:c r="H23" s="2"/>
      <x:c r="I23" s="2"/>
      <x:c r="J23" s="1"/>
    </x:row>
    <x:row r="24" ht="26" customHeight="1">
      <x:c r="A24" s="16" t="str">
        <x:v>Cách dùng và giả định</x:v>
      </x:c>
      <x:c r="B24" s="2"/>
      <x:c r="C24" s="2"/>
      <x:c r="D24" s="2"/>
      <x:c r="E24" s="2"/>
      <x:c r="F24" s="2"/>
      <x:c r="G24" s="2"/>
      <x:c r="H24" s="2"/>
      <x:c r="I24" s="2"/>
      <x:c r="J24" s="1"/>
    </x:row>
    <x:row r="25" ht="26" customHeight="1">
      <x:c r="A25" s="2" t="str">
        <x:v>Ô vàng là dữ liệu cần cập nhật. Các task là đề xuất, chưa được xác nhận là đã hoàn thành.</x:v>
      </x:c>
      <x:c r="B25" s="2"/>
      <x:c r="C25" s="2"/>
      <x:c r="D25" s="2"/>
      <x:c r="E25" s="2"/>
      <x:c r="F25" s="2"/>
      <x:c r="G25" s="2"/>
      <x:c r="H25" s="2"/>
      <x:c r="I25" s="2"/>
      <x:c r="J25" s="1"/>
    </x:row>
    <x:row r="26" ht="26" customHeight="1">
      <x:c r="A26" s="2" t="str">
        <x:v>Mỗi người cập nhật trạng thái, kiểm tra, bằng chứng và vướng mắc trong tab riêng; cột D là deadline của từng việc.</x:v>
      </x:c>
      <x:c r="B26" s="2"/>
      <x:c r="C26" s="2"/>
      <x:c r="D26" s="2"/>
      <x:c r="E26" s="2"/>
      <x:c r="F26" s="2"/>
      <x:c r="G26" s="2"/>
      <x:c r="H26" s="2"/>
      <x:c r="I26" s="2"/>
      <x:c r="J26" s="1"/>
    </x:row>
    <x:row r="27" ht="26" customHeight="1">
      <x:c r="A27" s="2" t="str">
        <x:v>Chỉ tính Đã nghiệm thu khi trạng thái Hoàn thành, người kiểm tra chọn Đạt và có liên kết bằng chứng.</x:v>
      </x:c>
      <x:c r="B27" s="2"/>
      <x:c r="C27" s="2"/>
      <x:c r="D27" s="2"/>
      <x:c r="E27" s="2"/>
      <x:c r="F27" s="2"/>
      <x:c r="G27" s="2"/>
      <x:c r="H27" s="2"/>
      <x:c r="I27" s="2"/>
      <x:c r="J27" s="1"/>
    </x:row>
    <x:row r="28" ht="26" customHeight="1">
      <x:c r="A28" s="2" t="str">
        <x:v>Đổi B5 sẽ dời ngày bắt đầu và deadline. Tuần được tính bằng 5 ngày làm việc; chưa có lịch nghỉ lễ riêng.</x:v>
      </x:c>
      <x:c r="B28" s="2"/>
      <x:c r="C28" s="2"/>
      <x:c r="D28" s="2"/>
      <x:c r="E28" s="2"/>
      <x:c r="F28" s="2"/>
      <x:c r="G28" s="2"/>
      <x:c r="H28" s="2"/>
      <x:c r="I28" s="2"/>
      <x:c r="J28" s="1"/>
    </x:row>
    <x:row r="29" ht="26" customHeight="1">
      <x:c r="A29" s="2" t="str">
        <x:v>Đổi giờ cam kết ở H18:H21. Nếu có tuần vượt mức, PM giảm phạm vi hoặc chốt lại lịch trước khi cam kết.</x:v>
      </x:c>
      <x:c r="B29" s="2"/>
      <x:c r="C29" s="2"/>
      <x:c r="D29" s="2"/>
      <x:c r="E29" s="2"/>
      <x:c r="F29" s="2"/>
      <x:c r="G29" s="2"/>
      <x:c r="H29" s="2"/>
      <x:c r="I29" s="2"/>
      <x:c r="J29" s="1"/>
    </x:row>
    <x:row r="30" ht="26" customHeight="1">
      <x:c r="A30" s="2" t="str">
        <x:v>Mỗi tuần thêm 1,5 giờ họp, 2 giờ kiểm tra chéo và 3 giờ dự phòng/người ngoài giờ task.</x:v>
      </x:c>
      <x:c r="B30" s="2"/>
      <x:c r="C30" s="2"/>
      <x:c r="D30" s="2"/>
      <x:c r="E30" s="2"/>
      <x:c r="F30" s="2"/>
      <x:c r="G30" s="2"/>
      <x:c r="H30" s="2"/>
      <x:c r="I30" s="2"/>
      <x:c r="J30" s="1"/>
    </x:row>
    <x:row r="31" ht="26" customHeight="1">
      <x:c r="A31" s="2" t="str">
        <x:v>Hai dev đều dùng AI viết mã. Phân công theo đầu ra, chưa giả định có chuyên môn AI/backend/frontend.</x:v>
      </x:c>
      <x:c r="B31" s="2"/>
      <x:c r="C31" s="2"/>
      <x:c r="D31" s="2"/>
      <x:c r="E31" s="2"/>
      <x:c r="F31" s="2"/>
      <x:c r="G31" s="2"/>
      <x:c r="H31" s="2"/>
      <x:c r="I31" s="2"/>
      <x:c r="J31" s="1"/>
    </x:row>
    <x:row r="32" ht="26" customHeight="1">
      <x:c r="A32" s="2" t="str">
        <x:v>Dev phải giải thích luồng chính, quyền và lỗi của mã mình nhận. Dev còn lại chạy kiểm tra chéo.</x:v>
      </x:c>
      <x:c r="B32" s="2"/>
      <x:c r="C32" s="2"/>
      <x:c r="D32" s="2"/>
      <x:c r="E32" s="2"/>
      <x:c r="F32" s="2"/>
      <x:c r="G32" s="2"/>
      <x:c r="H32" s="2"/>
      <x:c r="I32" s="2"/>
      <x:c r="J32" s="1"/>
    </x:row>
    <x:row r="33" ht="26" customHeight="1">
      <x:c r="A33" s="2" t="str">
        <x:v>BA viết yêu cầu và kiểm thử nghiệp vụ. PM chốt phạm vi, gỡ vướng, hỗ trợ BA và quyết định nghiệm thu.</x:v>
      </x:c>
      <x:c r="B33" s="2"/>
      <x:c r="C33" s="2"/>
      <x:c r="D33" s="2"/>
      <x:c r="E33" s="2"/>
      <x:c r="F33" s="2"/>
      <x:c r="G33" s="2"/>
      <x:c r="H33" s="2"/>
      <x:c r="I33" s="2"/>
      <x:c r="J33" s="1"/>
    </x:row>
    <x:row r="34" ht="26" customHeight="1">
      <x:c r="A34" s="2" t="str">
        <x:v>PM/BA không thay thế kiểm tra kỹ thuật. Hai dev chịu trách nhiệm code, test, quyền và vận hành.</x:v>
      </x:c>
      <x:c r="B34" s="2"/>
      <x:c r="C34" s="2"/>
      <x:c r="D34" s="2"/>
      <x:c r="E34" s="2"/>
      <x:c r="F34" s="2"/>
      <x:c r="G34" s="2"/>
      <x:c r="H34" s="2"/>
      <x:c r="I34" s="2"/>
      <x:c r="J34" s="1"/>
    </x:row>
    <x:row r="35" ht="26" customHeight="1">
      <x:c r="A35" s="2" t="str">
        <x:v>Một lab mô phỏng, dữ liệu giả/ẩn danh, nhóm phép thử hữu hạn. Không kiểm thử hệ thống thật.</x:v>
      </x:c>
      <x:c r="B35" s="2"/>
      <x:c r="C35" s="2"/>
      <x:c r="D35" s="2"/>
      <x:c r="E35" s="2"/>
      <x:c r="F35" s="2"/>
      <x:c r="G35" s="2"/>
      <x:c r="H35" s="2"/>
      <x:c r="I35" s="2"/>
      <x:c r="J35" s="1"/>
    </x:row>
    <x:row r="36" ht="26" customHeight="1">
      <x:c r="A36" s="2" t="str">
        <x:v>Must: hai vai trò, 4 agent có trạng thái/tool-use, quyền công cụ, HITL, bằng chứng, báo cáo, lỗi, eval, deploy.</x:v>
      </x:c>
      <x:c r="B36" s="2"/>
      <x:c r="C36" s="2"/>
      <x:c r="D36" s="2"/>
      <x:c r="E36" s="2"/>
      <x:c r="F36" s="2"/>
      <x:c r="G36" s="2"/>
      <x:c r="H36" s="2"/>
      <x:c r="I36" s="2"/>
      <x:c r="J36" s="1"/>
    </x:row>
    <x:row r="37" ht="26" customHeight="1">
      <x:c r="A37" s="2" t="str">
        <x:v>Một kênh Slack hoặc Teams được đưa vào kế hoạch theo ràng buộc đề tài. Chốt hình thức tại PM05.</x:v>
      </x:c>
      <x:c r="B37" s="2"/>
      <x:c r="C37" s="2"/>
      <x:c r="D37" s="2"/>
      <x:c r="E37" s="2"/>
      <x:c r="F37" s="2"/>
      <x:c r="G37" s="2"/>
      <x:c r="H37" s="2"/>
      <x:c r="I37" s="2"/>
      <x:c r="J37" s="1"/>
    </x:row>
    <x:row r="38" ht="26" customHeight="1">
      <x:c r="A38" s="2" t="str">
        <x:v>Should: cải thiện biểu diễn chuỗi kiểm thử, chống trùng phát hiện, khả năng phục hồi và hướng dẫn rõ.</x:v>
      </x:c>
      <x:c r="B38" s="2"/>
      <x:c r="C38" s="2"/>
      <x:c r="D38" s="2"/>
      <x:c r="E38" s="2"/>
      <x:c r="F38" s="2"/>
      <x:c r="G38" s="2"/>
      <x:c r="H38" s="2"/>
      <x:c r="I38" s="2"/>
      <x:c r="J38" s="1"/>
    </x:row>
    <x:row r="39" ht="26" customHeight="1">
      <x:c r="A39" s="2" t="str">
        <x:v>Could: PDF đẹp, nhiều lab, RAG/GraphRAG nâng cao, dashboard phong phú. Chỉ làm sau khi Must đạt.</x:v>
      </x:c>
      <x:c r="B39" s="2"/>
      <x:c r="C39" s="2"/>
      <x:c r="D39" s="2"/>
      <x:c r="E39" s="2"/>
      <x:c r="F39" s="2"/>
      <x:c r="G39" s="2"/>
      <x:c r="H39" s="2"/>
      <x:c r="I39" s="2"/>
      <x:c r="J39" s="1"/>
    </x:row>
    <x:row r="40" ht="26" customHeight="1">
      <x:c r="A40" s="2" t="str">
        <x:v>Won’t trong MVP: production, tự mở rộng mục tiêu, payload tùy ý hoặc hành động rủi ro không được duyệt.</x:v>
      </x:c>
      <x:c r="B40" s="2"/>
      <x:c r="C40" s="2"/>
      <x:c r="D40" s="2"/>
      <x:c r="E40" s="2"/>
      <x:c r="F40" s="2"/>
      <x:c r="G40" s="2"/>
      <x:c r="H40" s="2"/>
      <x:c r="I40" s="2"/>
      <x:c r="J40" s="1"/>
    </x:row>
    <x:row r="41" ht="26" customHeight="1">
      <x:c r="A41" s="2" t="str">
        <x:v>Nếu chọn RAG, phải có đánh giá truy xuất theo tiêu chí đề; không thêm chỉ để đủ tên công nghệ.</x:v>
      </x:c>
      <x:c r="B41" s="2"/>
      <x:c r="C41" s="2"/>
      <x:c r="D41" s="2"/>
      <x:c r="E41" s="2"/>
      <x:c r="F41" s="2"/>
      <x:c r="G41" s="2"/>
      <x:c r="H41" s="2"/>
      <x:c r="I41" s="2"/>
      <x:c r="J41" s="1"/>
    </x:row>
    <x:row r="42" ht="26" customHeight="1">
      <x:c r="A42" s="2" t="str">
        <x:v>Đầu tuần họp 20 phút; giữa tuần tích hợp 20 phút; cuối tuần demo/checkpoint 50 phút.</x:v>
      </x:c>
      <x:c r="B42" s="2"/>
      <x:c r="C42" s="2"/>
      <x:c r="D42" s="2"/>
      <x:c r="E42" s="2"/>
      <x:c r="F42" s="2"/>
      <x:c r="G42" s="2"/>
      <x:c r="H42" s="2"/>
      <x:c r="I42" s="2"/>
      <x:c r="J42" s="1"/>
    </x:row>
    <x:row r="43" ht="26" customHeight="1">
      <x:c r="A43" s="2" t="str">
        <x:v>Mỗi ngày cập nhật ngắn: đã làm, tiếp theo, vướng mắc. Vướng quá một ngày làm việc phải báo PM.</x:v>
      </x:c>
      <x:c r="B43" s="2"/>
      <x:c r="C43" s="2"/>
      <x:c r="D43" s="2"/>
      <x:c r="E43" s="2"/>
      <x:c r="F43" s="2"/>
      <x:c r="G43" s="2"/>
      <x:c r="H43" s="2"/>
      <x:c r="I43" s="2"/>
      <x:c r="J43" s="1"/>
    </x:row>
    <x:row r="44" ht="26" customHeight="1">
      <x:c r="A44" s="2" t="str">
        <x:v>Mỗi dev giữ tối đa một việc chính đang làm. Yêu cầu mới phải có lý do, công sức và phần bị ảnh hưởng.</x:v>
      </x:c>
      <x:c r="B44" s="2"/>
      <x:c r="C44" s="2"/>
      <x:c r="D44" s="2"/>
      <x:c r="E44" s="2"/>
      <x:c r="F44" s="2"/>
      <x:c r="G44" s="2"/>
      <x:c r="H44" s="2"/>
      <x:c r="I44" s="2"/>
      <x:c r="J44" s="1"/>
    </x:row>
    <x:row r="45" ht="26" customHeight="1">
      <x:c r="A45" s="2" t="str">
        <x:v>Sau G3 khóa tính năng; sau G4 chỉ sửa lỗi và hoàn thiện bàn giao. Dự phòng không dùng để thêm Could.</x:v>
      </x:c>
      <x:c r="B45" s="2"/>
      <x:c r="C45" s="2"/>
      <x:c r="D45" s="2"/>
      <x:c r="E45" s="2"/>
      <x:c r="F45" s="2"/>
      <x:c r="G45" s="2"/>
      <x:c r="H45" s="2"/>
      <x:c r="I45" s="2"/>
      <x:c r="J45" s="1"/>
    </x:row>
    <x:row r="46" ht="26" customHeight="1">
      <x:c r="A46" s="16" t="str">
        <x:v>Nguồn và phạm vi xác nhận</x:v>
      </x:c>
      <x:c r="B46" s="2"/>
      <x:c r="C46" s="2"/>
      <x:c r="D46" s="2"/>
      <x:c r="E46" s="2"/>
      <x:c r="F46" s="2"/>
      <x:c r="G46" s="2"/>
      <x:c r="H46" s="2"/>
      <x:c r="I46" s="2"/>
      <x:c r="J46" s="1"/>
    </x:row>
    <x:row r="47" ht="26" customHeight="1">
      <x:c r="A47" s="2" t="str">
        <x:v>Người dùng: 4 người gồm PM/hỗ trợ BA, BA chính, 2 dev; cả hai dev dùng AI hỗ trợ viết mã.</x:v>
      </x:c>
      <x:c r="B47" s="2"/>
      <x:c r="C47" s="2"/>
      <x:c r="D47" s="2"/>
      <x:c r="E47" s="2"/>
      <x:c r="F47" s="2"/>
      <x:c r="G47" s="2"/>
      <x:c r="H47" s="2"/>
      <x:c r="I47" s="2"/>
      <x:c r="J47" s="1"/>
    </x:row>
    <x:row r="48" ht="26" customHeight="1">
      <x:c r="A48" s="2" t="str">
        <x:v>Ảnh quy định chung và ảnh VSOC-04: đầu ra, staging/mô phỏng, HITL, phân quyền, eval và hồ sơ bàn giao.</x:v>
      </x:c>
      <x:c r="B48" s="2"/>
      <x:c r="C48" s="2"/>
      <x:c r="D48" s="2"/>
      <x:c r="E48" s="2"/>
      <x:c r="F48" s="2"/>
      <x:c r="G48" s="2"/>
      <x:c r="H48" s="2"/>
      <x:c r="I48" s="2"/>
      <x:c r="J48" s="1"/>
    </x:row>
    <x:row r="49" ht="26" customHeight="1">
      <x:c r="A49" s="2" t="str">
        <x:v>Nguồn: mã nguồn src/, tests/, Docker/CI, README và hồ sơ; bảng Hien trang ghi file/bằng chứng và phạm vi xác nhận.</x:v>
      </x:c>
      <x:c r="B49" s="2"/>
      <x:c r="C49" s="2"/>
      <x:c r="D49" s="2"/>
      <x:c r="E49" s="2"/>
      <x:c r="F49" s="2"/>
      <x:c r="G49" s="2"/>
      <x:c r="H49" s="2"/>
      <x:c r="I49" s="2"/>
      <x:c r="J49" s="1"/>
    </x:row>
    <x:row r="50" ht="26" customHeight="1">
      <x:c r="A50" s="2" t="str">
        <x:v>Đã chạy 5/5 test, ruff và gọi API nội bộ. Chưa kiểm chứng Docker/cloud, gọi LLM thật hoặc chức năng pentest chưa có.</x:v>
      </x:c>
      <x:c r="B50" s="2"/>
      <x:c r="C50" s="2"/>
      <x:c r="D50" s="2"/>
      <x:c r="E50" s="2"/>
      <x:c r="F50" s="2"/>
      <x:c r="G50" s="2"/>
      <x:c r="H50" s="2"/>
      <x:c r="I50" s="2"/>
      <x:c r="J50" s="1"/>
    </x:row>
    <x:row r="51" ht="26" customHeight="1">
      <x:c r="A51" s="2" t="str">
        <x:v>72 việc là kế hoạch cần làm từ hiện trạng. Giờ, ngày, 24 ca eval và ngưỡng nghiệm thu vẫn là đề xuất.</x:v>
      </x:c>
      <x:c r="B51" s="2"/>
      <x:c r="C51" s="2"/>
      <x:c r="D51" s="2"/>
      <x:c r="E51" s="2"/>
      <x:c r="F51" s="2"/>
      <x:c r="G51" s="2"/>
      <x:c r="H51" s="2"/>
      <x:c r="I51" s="2"/>
      <x:c r="J51" s="1"/>
    </x:row>
    <x:row r="52" ht="26" customHeight="1">
      <x:c r="A52" s="2" t="str">
        <x:v>Chuỗi phụ thuộc chính: BA02/D102/D202 → Recon → HITL → báo cáo → eval/UAT → bàn giao.</x:v>
      </x:c>
      <x:c r="B52" s="2"/>
      <x:c r="C52" s="2"/>
      <x:c r="D52" s="2"/>
      <x:c r="E52" s="2"/>
      <x:c r="F52" s="2"/>
      <x:c r="G52" s="2"/>
      <x:c r="H52" s="2"/>
      <x:c r="I52" s="2"/>
      <x:c r="J52" s="1"/>
    </x:row>
    <x:row r="53" ht="26" customHeight="1">
      <x:c r="A53" s="2" t="str">
        <x:v>Deadline: ngày trong task lúc 18:00. Khi phụ thuộc cùng ngày, bàn giao phần cần dùng trước ca tích hợp.</x:v>
      </x:c>
      <x:c r="B53" s="2"/>
      <x:c r="C53" s="2"/>
      <x:c r="D53" s="2"/>
      <x:c r="E53" s="2"/>
      <x:c r="F53" s="2"/>
      <x:c r="G53" s="2"/>
      <x:c r="H53" s="2"/>
      <x:c r="I53" s="2"/>
      <x:c r="J53" s="1"/>
    </x:row>
    <x:row r="54" ht="26" customHeight="1">
      <x:c r="A54" s="2" t="str">
        <x:v>Năm test khung đạt không chứng minh chất lượng pentest. Tập eval nhỏ chỉ dùng cho phạm vi lab được công bố.</x:v>
      </x:c>
      <x:c r="B54" s="2"/>
      <x:c r="C54" s="2"/>
      <x:c r="D54" s="2"/>
      <x:c r="E54" s="2"/>
      <x:c r="F54" s="2"/>
      <x:c r="G54" s="2"/>
      <x:c r="H54" s="2"/>
      <x:c r="I54" s="2"/>
      <x:c r="J54" s="1"/>
    </x:row>
    <x:row r="55" ht="26" customHeight="1">
      <x:c r="A55" s="2" t="str">
        <x:v>Trước chạy hành động có rủi ro, nhóm cần người có năng lực xác nhận lab và cơ chế kiểm soát phù hợp.</x:v>
      </x:c>
      <x:c r="B55" s="2"/>
      <x:c r="C55" s="2"/>
      <x:c r="D55" s="2"/>
      <x:c r="E55" s="2"/>
      <x:c r="F55" s="2"/>
      <x:c r="G55" s="2"/>
      <x:c r="H55" s="2"/>
      <x:c r="I55" s="2"/>
      <x:c r="J55" s="1"/>
    </x:row>
    <x:row r="56" ht="24" customHeight="1">
      <x:c r="A56" s="2"/>
      <x:c r="B56" s="2"/>
      <x:c r="C56" s="2"/>
      <x:c r="D56" s="2"/>
      <x:c r="E56" s="2"/>
      <x:c r="F56" s="2"/>
      <x:c r="G56" s="2"/>
      <x:c r="H56" s="2"/>
      <x:c r="I56" s="2"/>
      <x:c r="J56" s="1"/>
    </x:row>
    <x:row r="57" ht="24" customHeight="1">
      <x:c r="A57" s="2" t="str">
        <x:v>Google Sheets: giữ quyền truy cập giới hạn. Chỉ cấp quyền sửa cho tài khoản do PM xác nhận.</x:v>
      </x:c>
      <x:c r="B57" s="2"/>
      <x:c r="C57" s="2"/>
      <x:c r="D57" s="2"/>
      <x:c r="E57" s="2"/>
      <x:c r="F57" s="2"/>
      <x:c r="G57" s="2"/>
      <x:c r="H57" s="2"/>
      <x:c r="I57" s="2"/>
      <x:c r="J57" s="1"/>
    </x:row>
    <x:row r="58" ht="24" customHeight="1">
      <x:c r="A58" s="2" t="str">
        <x:v>Chỉnh B5 để dời lịch. Thay đổi phạm vi hoặc số tuần cần PM rà lại phụ thuộc; không chỉ kéo deadline.</x:v>
      </x:c>
      <x:c r="B58" s="2"/>
      <x:c r="C58" s="2"/>
      <x:c r="D58" s="2"/>
      <x:c r="E58" s="2"/>
      <x:c r="F58" s="2"/>
      <x:c r="G58" s="2"/>
      <x:c r="H58" s="2"/>
      <x:c r="I58" s="2"/>
      <x:c r="J58" s="1"/>
    </x:row>
    <x:row r="59" ht="24" customHeight="1">
      <x:c r="A59" s="2" t="str">
        <x:v>Các ô trạng thái là bảng theo dõi tự khai. Cần người được phân công review xác nhận bằng chứng trước khi ghi Đạt.</x:v>
      </x:c>
      <x:c r="B59" s="2"/>
      <x:c r="C59" s="2"/>
      <x:c r="D59" s="2"/>
      <x:c r="E59" s="2"/>
      <x:c r="F59" s="2"/>
      <x:c r="G59" s="2"/>
      <x:c r="H59" s="2"/>
      <x:c r="I59" s="2"/>
      <x:c r="J59" s="1"/>
    </x:row>
    <x:row r="60" ht="24" customHeight="1">
      <x:c r="A60" s="2"/>
      <x:c r="B60" s="2"/>
      <x:c r="C60" s="2"/>
      <x:c r="D60" s="2"/>
      <x:c r="E60" s="2"/>
      <x:c r="F60" s="2"/>
      <x:c r="G60" s="2"/>
      <x:c r="H60" s="2"/>
      <x:c r="I60" s="2"/>
      <x:c r="J60" s="1"/>
    </x:row>
    <x:row r="61" ht="24" customHeight="1">
      <x:c r="A61" s="2"/>
      <x:c r="B61" s="2"/>
      <x:c r="C61" s="2"/>
      <x:c r="D61" s="2"/>
      <x:c r="E61" s="2"/>
      <x:c r="F61" s="2"/>
      <x:c r="G61" s="2"/>
      <x:c r="H61" s="2"/>
      <x:c r="I61" s="2"/>
      <x:c r="J61" s="1"/>
    </x:row>
  </x:sheetData>
  <x:conditionalFormatting sqref="I18:I21">
    <x:cfRule type="cellIs" dxfId="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 min="16" max="16" width="42.5" hidden="0" customWidth="1"/>
  </x:cols>
  <x:sheetData>
    <x:row r="1" ht="24" customHeight="1">
      <x:c r="A1" s="2"/>
      <x:c r="B1" s="2"/>
      <x:c r="C1" s="2"/>
      <x:c r="D1" s="2"/>
      <x:c r="E1" s="2"/>
      <x:c r="F1" s="2"/>
      <x:c r="G1" s="2"/>
      <x:c r="H1" s="2"/>
      <x:c r="I1" s="2"/>
      <x:c r="J1" s="2"/>
      <x:c r="K1" s="2"/>
      <x:c r="L1" s="2"/>
      <x:c r="M1" s="2"/>
      <x:c r="N1" s="2"/>
      <x:c r="O1" s="2"/>
      <x:c r="P1" s="1"/>
    </x:row>
    <x:row r="2" ht="24" customHeight="1">
      <x:c r="A2" s="3" t="str">
        <x:v>PM | Bạn: PM, hỗ trợ BA</x:v>
      </x:c>
      <x:c r="B2" s="2"/>
      <x:c r="C2" s="2"/>
      <x:c r="D2" s="2"/>
      <x:c r="E2" s="2"/>
      <x:c r="F2" s="2"/>
      <x:c r="G2" s="2"/>
      <x:c r="H2" s="2"/>
      <x:c r="I2" s="2"/>
      <x:c r="J2" s="2"/>
      <x:c r="K2" s="2"/>
      <x:c r="L2" s="2"/>
      <x:c r="M2" s="2"/>
      <x:c r="N2" s="2"/>
      <x:c r="O2" s="2"/>
      <x:c r="P2" s="1"/>
    </x:row>
    <x:row r="3" ht="24" customHeight="1">
      <x:c r="A3" s="4"/>
      <x:c r="B3" s="4"/>
      <x:c r="C3" s="4"/>
      <x:c r="D3" s="4"/>
      <x:c r="E3" s="4"/>
      <x:c r="F3" s="4"/>
      <x:c r="G3" s="4"/>
      <x:c r="H3" s="4"/>
      <x:c r="I3" s="4"/>
      <x:c r="J3" s="4"/>
      <x:c r="K3" s="4"/>
      <x:c r="L3" s="4"/>
      <x:c r="M3" s="4"/>
      <x:c r="N3" s="4"/>
      <x:c r="O3" s="4"/>
      <x:c r="P3" s="1"/>
    </x:row>
    <x:row r="4" ht="24" customHeight="1">
      <x:c r="A4" s="2" t="str">
        <x:v>Đối chiếu P-077 ngày 18/09/2026. Deadline riêng ở cột D; cơ sở hiện trạng ở cột P. Lịch chưa được nhóm xác nhận.</x:v>
      </x:c>
      <x:c r="B4" s="2"/>
      <x:c r="C4" s="2"/>
      <x:c r="D4" s="2"/>
      <x:c r="E4" s="2"/>
      <x:c r="F4" s="2"/>
      <x:c r="G4" s="2"/>
      <x:c r="H4" s="2"/>
      <x:c r="I4" s="2"/>
      <x:c r="J4" s="2"/>
      <x:c r="K4" s="2"/>
      <x:c r="L4" s="2"/>
      <x:c r="M4" s="2"/>
      <x:c r="N4" s="2"/>
      <x:c r="O4" s="2"/>
      <x:c r="P4" s="1"/>
    </x:row>
    <x:row r="5" ht="24" customHeight="1">
      <x:c r="A5" s="2" t="str">
        <x:v>Ô vàng để cập nhật. Hoàn thành cần người kiểm tra chọn Đạt và bằng chứng. Kết quả audit không tự đánh dấu task tương lai là xong.</x:v>
      </x:c>
      <x:c r="B5" s="2"/>
      <x:c r="C5" s="2"/>
      <x:c r="D5" s="2"/>
      <x:c r="E5" s="2"/>
      <x:c r="F5" s="2"/>
      <x:c r="G5" s="2"/>
      <x:c r="H5" s="2"/>
      <x:c r="I5" s="2"/>
      <x:c r="J5" s="2"/>
      <x:c r="K5" s="2"/>
      <x:c r="L5" s="2"/>
      <x:c r="M5" s="2"/>
      <x:c r="N5" s="2"/>
      <x:c r="O5" s="2"/>
      <x:c r="P5" s="1"/>
    </x:row>
    <x:row r="6" ht="24" customHeight="1">
      <x:c r="A6" s="2"/>
      <x:c r="B6" s="2"/>
      <x:c r="C6" s="2"/>
      <x:c r="D6" s="2"/>
      <x:c r="E6" s="2"/>
      <x:c r="F6" s="2"/>
      <x:c r="G6" s="2"/>
      <x:c r="H6" s="2"/>
      <x:c r="I6" s="2"/>
      <x:c r="J6" s="2"/>
      <x:c r="K6" s="2"/>
      <x:c r="L6" s="2"/>
      <x:c r="M6" s="2"/>
      <x:c r="N6" s="2"/>
      <x:c r="O6" s="2"/>
      <x:c r="P6" s="1"/>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c r="P7" s="33" t="str">
        <x:v>Cơ sở từ P-077 / nơi cần bổ sung</x:v>
      </x:c>
    </x:row>
    <x:row r="8" ht="80" customHeight="1">
      <x:c r="A8" s="24" t="str">
        <x:v>PM01</x:v>
      </x:c>
      <x:c r="B8" s="25" t="n">
        <x:v>1</x:v>
      </x:c>
      <x:c r="C8" s="26" t="n">
        <x:f>WORKDAY('Tong quan'!$B$5-1,1)</x:f>
        <x:v>46286</x:v>
      </x:c>
      <x:c r="D8" s="26" t="n">
        <x:f>WORKDAY('Tong quan'!$B$5-1,1)</x:f>
        <x:v>46286</x:v>
      </x:c>
      <x:c r="E8" s="25" t="n">
        <x:v>2</x:v>
      </x:c>
      <x:c r="F8" s="24" t="str">
        <x:v>Xác nhận tên, giờ có thể làm, ngày bắt đầu và hạn nộp thật. Thống nhất cách dùng Google Sheet và đọc tab Hiện trạng trước khi nhận việc.</x:v>
      </x:c>
      <x:c r="G8" s="24" t="str">
        <x:v>Có người nhận từng vai trò, giờ/tuần và hạn nộp do nhóm xác nhận. Sáu tuần trong kế hoạch vẫn là giả định cho tới khi chốt.</x:v>
      </x:c>
      <x:c r="H8" s="24" t="str">
        <x:v>Không</x:v>
      </x:c>
      <x:c r="I8" s="24" t="str">
        <x:v>Cả nhóm</x:v>
      </x:c>
      <x:c r="J8" s="27" t="str">
        <x:v>Chưa bắt đầu</x:v>
      </x:c>
      <x:c r="K8" s="27" t="str">
        <x:v>Chưa kiểm tra</x:v>
      </x:c>
      <x:c r="L8" s="27"/>
      <x:c r="M8" s="27"/>
      <x:c r="N8" s="27"/>
      <x:c r="O8" s="28" t="str">
        <x:f>IF(J8="Hoàn thành",IF(AND(K8="Đạt",L8&lt;&gt;""),"Đã nghiệm thu","Thiếu xác nhận"),J8)</x:f>
        <x:v>Chưa bắt đầu</x:v>
      </x:c>
      <x:c r="P8" s="35" t="str">
        <x:v>README.md; WORKLOG.md; tab Hien trang</x:v>
      </x:c>
    </x:row>
    <x:row r="9" ht="80" customHeight="1">
      <x:c r="A9" s="18" t="str">
        <x:v>PM02</x:v>
      </x:c>
      <x:c r="B9" s="20" t="n">
        <x:v>1</x:v>
      </x:c>
      <x:c r="C9" s="21" t="n">
        <x:f>WORKDAY('Tong quan'!$B$5-1,2)</x:f>
        <x:v>46287</x:v>
      </x:c>
      <x:c r="D9" s="21" t="n">
        <x:f>WORKDAY('Tong quan'!$B$5-1,3)</x:f>
        <x:v>46288</x:v>
      </x:c>
      <x:c r="E9" s="20" t="n">
        <x:v>4</x:v>
      </x:c>
      <x:c r="F9" s="18" t="str">
        <x:v>Chốt MVP nhỏ theo VSOC-04: một lab, phép thử hữu hạn và 4 agent. Đối chiếu quy định ảnh với tài liệu mẫu; chốt kênh HITL, chỉ số và ngân sách.</x:v>
      </x:c>
      <x:c r="G9" s="18" t="str">
        <x:v>Must và phần hoãn được cả nhóm xác nhận. Ghi rõ yêu cầu chính thức, gợi ý và điểm cần hỏi BTC; không áp dụng chỉ tiêu mẫu như kết quả dự án.</x:v>
      </x:c>
      <x:c r="H9" s="18" t="str">
        <x:v>PM01, BA01</x:v>
      </x:c>
      <x:c r="I9" s="18" t="str">
        <x:v>BA</x:v>
      </x:c>
      <x:c r="J9" s="22" t="str">
        <x:v>Chưa bắt đầu</x:v>
      </x:c>
      <x:c r="K9" s="22" t="str">
        <x:v>Chưa kiểm tra</x:v>
      </x:c>
      <x:c r="L9" s="22"/>
      <x:c r="M9" s="22"/>
      <x:c r="N9" s="22"/>
      <x:c r="O9" s="23" t="str">
        <x:f>IF(J9="Hoàn thành",IF(AND(K9="Đạt",L9&lt;&gt;""),"Đã nghiệm thu","Thiếu xác nhận"),J9)</x:f>
        <x:v>Chưa bắt đầu</x:v>
      </x:c>
      <x:c r="P9" s="35" t="str">
        <x:v>Ảnh quy định/VSOC-04; docs/guide/chapter-09.md</x:v>
      </x:c>
    </x:row>
    <x:row r="10" ht="80" customHeight="1">
      <x:c r="A10" s="18" t="str">
        <x:v>PM03</x:v>
      </x:c>
      <x:c r="B10" s="20" t="n">
        <x:v>1</x:v>
      </x:c>
      <x:c r="C10" s="21" t="n">
        <x:f>WORKDAY('Tong quan'!$B$5-1,4)</x:f>
        <x:v>46289</x:v>
      </x:c>
      <x:c r="D10" s="21" t="n">
        <x:f>WORKDAY('Tong quan'!$B$5-1,5)</x:f>
        <x:v>46290</x:v>
      </x:c>
      <x:c r="E10" s="20" t="n">
        <x:v>4</x:v>
      </x:c>
      <x:c r="F10" s="18" t="str">
        <x:v>Rà kế hoạch từ tab Hiện trạng. Chốt tiêu chuẩn nghiệm thu mã do AI hỗ trợ viết. Kiểm tra G0 và điều chỉnh công sức theo tốc độ tuần đầu.</x:v>
      </x:c>
      <x:c r="G10" s="18" t="str">
        <x:v>Có ước lượng đã rà lại sau G0, sổ rủi ro và quyết định. Không đánh dấu hoàn thành chỉ vì README_boilerplate có ô [x].</x:v>
      </x:c>
      <x:c r="H10" s="18" t="str">
        <x:v>PM02, BA02</x:v>
      </x:c>
      <x:c r="I10" s="18" t="str">
        <x:v>BA; 2 Dev</x:v>
      </x:c>
      <x:c r="J10" s="22" t="str">
        <x:v>Chưa bắt đầu</x:v>
      </x:c>
      <x:c r="K10" s="22" t="str">
        <x:v>Chưa kiểm tra</x:v>
      </x:c>
      <x:c r="L10" s="22"/>
      <x:c r="M10" s="22"/>
      <x:c r="N10" s="22"/>
      <x:c r="O10" s="23" t="str">
        <x:f>IF(J10="Hoàn thành",IF(AND(K10="Đạt",L10&lt;&gt;""),"Đã nghiệm thu","Thiếu xác nhận"),J10)</x:f>
        <x:v>Chưa bắt đầu</x:v>
      </x:c>
      <x:c r="P10" s="35" t="str">
        <x:v>README_boilerplate.md; JOURNAL.md</x:v>
      </x:c>
    </x:row>
    <x:row r="11" ht="80" customHeight="1">
      <x:c r="A11" s="24" t="str">
        <x:v>PM04</x:v>
      </x:c>
      <x:c r="B11" s="25" t="n">
        <x:v>2</x:v>
      </x:c>
      <x:c r="C11" s="26" t="n">
        <x:f>WORKDAY('Tong quan'!$B$5-1,6)</x:f>
        <x:v>46293</x:v>
      </x:c>
      <x:c r="D11" s="26" t="n">
        <x:f>WORKDAY('Tong quan'!$B$5-1,7)</x:f>
        <x:v>46294</x:v>
      </x:c>
      <x:c r="E11" s="25" t="n">
        <x:v>3</x:v>
      </x:c>
      <x:c r="F11" s="24" t="str">
        <x:v>Kiểm tra kế hoạch tuần và bản giao diện. Giải quyết câu hỏi nghiệp vụ trong một ngày làm việc. Chốt tài khoản dùng cho demo.</x:v>
      </x:c>
      <x:c r="G11" s="24" t="str">
        <x:v>Không còn quyết định về phạm vi, vai trò hoặc màn hình cản hai dev. Yêu cầu thay đổi được ghi rõ tác động.</x:v>
      </x:c>
      <x:c r="H11" s="24" t="str">
        <x:v>PM03</x:v>
      </x:c>
      <x:c r="I11" s="24" t="str">
        <x:v>BA</x:v>
      </x:c>
      <x:c r="J11" s="27" t="str">
        <x:v>Chưa bắt đầu</x:v>
      </x:c>
      <x:c r="K11" s="27" t="str">
        <x:v>Chưa kiểm tra</x:v>
      </x:c>
      <x:c r="L11" s="27"/>
      <x:c r="M11" s="27"/>
      <x:c r="N11" s="27"/>
      <x:c r="O11" s="28" t="str">
        <x:f>IF(J11="Hoàn thành",IF(AND(K11="Đạt",L11&lt;&gt;""),"Đã nghiệm thu","Thiếu xác nhận"),J11)</x:f>
        <x:v>Chưa bắt đầu</x:v>
      </x:c>
      <x:c r="P11" s="35" t="str">
        <x:v>BA03; giao diện chưa có trong repo</x:v>
      </x:c>
    </x:row>
    <x:row r="12" ht="80" customHeight="1">
      <x:c r="A12" s="18" t="str">
        <x:v>PM05</x:v>
      </x:c>
      <x:c r="B12" s="20" t="n">
        <x:v>2</x:v>
      </x:c>
      <x:c r="C12" s="21" t="n">
        <x:f>WORKDAY('Tong quan'!$B$5-1,8)</x:f>
        <x:v>46295</x:v>
      </x:c>
      <x:c r="D12" s="21" t="n">
        <x:f>WORKDAY('Tong quan'!$B$5-1,9)</x:f>
        <x:v>46296</x:v>
      </x:c>
      <x:c r="E12" s="20" t="n">
        <x:v>3</x:v>
      </x:c>
      <x:c r="F12" s="18" t="str">
        <x:v>Chọn một kênh Slack/Teams, xác nhận quyền tích hợp và cách người duyệt trả quyết định. Cùng BA chốt định dạng slide/PDF, nhật ký và cách nộp theo BTC.</x:v>
      </x:c>
      <x:c r="G12" s="18" t="str">
        <x:v>Có tài khoản/kênh thử, người sở hữu và cách duyệt được xác thực. Mâu thuẫn hướng dẫn nộp được ghi quyết định, không sửa docs/guide để giải quyết.</x:v>
      </x:c>
      <x:c r="H12" s="18" t="str">
        <x:v>PM04</x:v>
      </x:c>
      <x:c r="I12" s="18" t="str">
        <x:v>BA; Dev2</x:v>
      </x:c>
      <x:c r="J12" s="22" t="str">
        <x:v>Chưa bắt đầu</x:v>
      </x:c>
      <x:c r="K12" s="22" t="str">
        <x:v>Chưa kiểm tra</x:v>
      </x:c>
      <x:c r="L12" s="22"/>
      <x:c r="M12" s="22"/>
      <x:c r="N12" s="22"/>
      <x:c r="O12" s="23" t="str">
        <x:f>IF(J12="Hoàn thành",IF(AND(K12="Đạt",L12&lt;&gt;""),"Đã nghiệm thu","Thiếu xác nhận"),J12)</x:f>
        <x:v>Chưa bắt đầu</x:v>
      </x:c>
      <x:c r="P12" s="35" t="str">
        <x:v>Ảnh VSOC-04; presentation/README.md; docs/guide/chapter-09.md</x:v>
      </x:c>
    </x:row>
    <x:row r="13" ht="80" customHeight="1">
      <x:c r="A13" s="18" t="str">
        <x:v>PM06</x:v>
      </x:c>
      <x:c r="B13" s="20" t="n">
        <x:v>2</x:v>
      </x:c>
      <x:c r="C13" s="21" t="n">
        <x:f>WORKDAY('Tong quan'!$B$5-1,10)</x:f>
        <x:v>46297</x:v>
      </x:c>
      <x:c r="D13" s="21" t="n">
        <x:f>WORKDAY('Tong quan'!$B$5-1,10)</x:f>
        <x:v>46297</x:v>
      </x:c>
      <x:c r="E13" s="20" t="n">
        <x:v>3</x:v>
      </x:c>
      <x:c r="F13" s="18" t="str">
        <x:v>Chủ trì G1. Thử tạo đợt trên lab, xem Recon và bằng chứng thật. So sánh việc hoàn thành với tiêu chí đã chốt.</x:v>
      </x:c>
      <x:c r="G13" s="18" t="str">
        <x:v>Có biên bản G1 và 3 việc ưu tiên tuần 3. Dữ liệu mô phỏng được gắn nhãn, không tính thành kết quả AI thực tế.</x:v>
      </x:c>
      <x:c r="H13" s="18" t="str">
        <x:v>PM05</x:v>
      </x:c>
      <x:c r="I13" s="18" t="str">
        <x:v>BA; 2 Dev</x:v>
      </x:c>
      <x:c r="J13" s="22" t="str">
        <x:v>Chưa bắt đầu</x:v>
      </x:c>
      <x:c r="K13" s="22" t="str">
        <x:v>Chưa kiểm tra</x:v>
      </x:c>
      <x:c r="L13" s="22"/>
      <x:c r="M13" s="22"/>
      <x:c r="N13" s="22"/>
      <x:c r="O13" s="23" t="str">
        <x:f>IF(J13="Hoàn thành",IF(AND(K13="Đạt",L13&lt;&gt;""),"Đã nghiệm thu","Thiếu xác nhận"),J13)</x:f>
        <x:v>Chưa bắt đầu</x:v>
      </x:c>
      <x:c r="P13" s="35" t="str">
        <x:v>src/api/routes.py; src/agents/graph.py</x:v>
      </x:c>
    </x:row>
    <x:row r="14" ht="80" customHeight="1">
      <x:c r="A14" s="24" t="str">
        <x:v>PM07</x:v>
      </x:c>
      <x:c r="B14" s="25" t="n">
        <x:v>3</x:v>
      </x:c>
      <x:c r="C14" s="26" t="n">
        <x:f>WORKDAY('Tong quan'!$B$5-1,11)</x:f>
        <x:v>46300</x:v>
      </x:c>
      <x:c r="D14" s="26" t="n">
        <x:f>WORKDAY('Tong quan'!$B$5-1,12)</x:f>
        <x:v>46301</x:v>
      </x:c>
      <x:c r="E14" s="25" t="n">
        <x:v>3</x:v>
      </x:c>
      <x:c r="F14" s="24" t="str">
        <x:v>Duyệt nội dung yêu cầu phê duyệt. Chốt ai duyệt, thời hạn, hành động và mục tiêu được phép. Duyệt giới hạn lượt chạy/chi phí.</x:v>
      </x:c>
      <x:c r="G14" s="24" t="str">
        <x:v>Không có phê duyệt chung cho mọi hành động. Quy tắc đổi tham số, hết hạn, từ chối và dừng đợt được BA ghi rõ.</x:v>
      </x:c>
      <x:c r="H14" s="24" t="str">
        <x:v>PM06, BA03</x:v>
      </x:c>
      <x:c r="I14" s="24" t="str">
        <x:v>BA; Dev1</x:v>
      </x:c>
      <x:c r="J14" s="27" t="str">
        <x:v>Chưa bắt đầu</x:v>
      </x:c>
      <x:c r="K14" s="27" t="str">
        <x:v>Chưa kiểm tra</x:v>
      </x:c>
      <x:c r="L14" s="27"/>
      <x:c r="M14" s="27"/>
      <x:c r="N14" s="27"/>
      <x:c r="O14" s="28" t="str">
        <x:f>IF(J14="Hoàn thành",IF(AND(K14="Đạt",L14&lt;&gt;""),"Đã nghiệm thu","Thiếu xác nhận"),J14)</x:f>
        <x:v>Chưa bắt đầu</x:v>
      </x:c>
      <x:c r="P14" s="35" t="str">
        <x:v>Chưa có approval/role trong src/</x:v>
      </x:c>
    </x:row>
    <x:row r="15" ht="80" customHeight="1">
      <x:c r="A15" s="18" t="str">
        <x:v>PM08</x:v>
      </x:c>
      <x:c r="B15" s="20" t="n">
        <x:v>3</x:v>
      </x:c>
      <x:c r="C15" s="21" t="n">
        <x:f>WORKDAY('Tong quan'!$B$5-1,13)</x:f>
        <x:v>46302</x:v>
      </x:c>
      <x:c r="D15" s="21" t="n">
        <x:f>WORKDAY('Tong quan'!$B$5-1,14)</x:f>
        <x:v>46303</x:v>
      </x:c>
      <x:c r="E15" s="20" t="n">
        <x:v>3</x:v>
      </x:c>
      <x:c r="F15" s="18" t="str">
        <x:v>Theo dõi tích hợp HITL. Gỡ vướng giữa hai dev và BA. Ưu tiên lỗi làm vượt quyền hoặc mất trạng thái.</x:v>
      </x:c>
      <x:c r="G15" s="18" t="str">
        <x:v>Mọi lỗi chặn có người xử lý, hạn khắc phục và tác động. Không thêm tính năng nâng cao khi HITL chưa chạy đúng.</x:v>
      </x:c>
      <x:c r="H15" s="18" t="str">
        <x:v>PM07</x:v>
      </x:c>
      <x:c r="I15" s="18" t="str">
        <x:v>BA</x:v>
      </x:c>
      <x:c r="J15" s="22" t="str">
        <x:v>Chưa bắt đầu</x:v>
      </x:c>
      <x:c r="K15" s="22" t="str">
        <x:v>Chưa kiểm tra</x:v>
      </x:c>
      <x:c r="L15" s="22"/>
      <x:c r="M15" s="22"/>
      <x:c r="N15" s="22"/>
      <x:c r="O15" s="23" t="str">
        <x:f>IF(J15="Hoàn thành",IF(AND(K15="Đạt",L15&lt;&gt;""),"Đã nghiệm thu","Thiếu xác nhận"),J15)</x:f>
        <x:v>Chưa bắt đầu</x:v>
      </x:c>
      <x:c r="P15" s="35" t="str">
        <x:v>D207–D209 và D108–D109 cần viết mới</x:v>
      </x:c>
    </x:row>
    <x:row r="16" ht="80" customHeight="1">
      <x:c r="A16" s="18" t="str">
        <x:v>PM09</x:v>
      </x:c>
      <x:c r="B16" s="20" t="n">
        <x:v>3</x:v>
      </x:c>
      <x:c r="C16" s="21" t="n">
        <x:f>WORKDAY('Tong quan'!$B$5-1,15)</x:f>
        <x:v>46304</x:v>
      </x:c>
      <x:c r="D16" s="21" t="n">
        <x:f>WORKDAY('Tong quan'!$B$5-1,15)</x:f>
        <x:v>46304</x:v>
      </x:c>
      <x:c r="E16" s="20" t="n">
        <x:v>3</x:v>
      </x:c>
      <x:c r="F16" s="18" t="str">
        <x:v>Chủ trì G2. Đóng vai Operator để BA thử Approver. Xem cả duyệt, từ chối, hết hạn và mất kết nối.</x:v>
      </x:c>
      <x:c r="G16" s="18" t="str">
        <x:v>Chỉ chấp nhận G2 khi hành động bị chặn đúng tại lớp thực thi. Ghi kết quả thật và việc chưa đạt.</x:v>
      </x:c>
      <x:c r="H16" s="18" t="str">
        <x:v>PM08</x:v>
      </x:c>
      <x:c r="I16" s="18" t="str">
        <x:v>BA; 2 Dev</x:v>
      </x:c>
      <x:c r="J16" s="22" t="str">
        <x:v>Chưa bắt đầu</x:v>
      </x:c>
      <x:c r="K16" s="22" t="str">
        <x:v>Chưa kiểm tra</x:v>
      </x:c>
      <x:c r="L16" s="22"/>
      <x:c r="M16" s="22"/>
      <x:c r="N16" s="22"/>
      <x:c r="O16" s="23" t="str">
        <x:f>IF(J16="Hoàn thành",IF(AND(K16="Đạt",L16&lt;&gt;""),"Đã nghiệm thu","Thiếu xác nhận"),J16)</x:f>
        <x:v>Chưa bắt đầu</x:v>
      </x:c>
      <x:c r="P16" s="35" t="str">
        <x:v>Chưa có test HITL trong tests/</x:v>
      </x:c>
    </x:row>
    <x:row r="17" ht="80" customHeight="1">
      <x:c r="A17" s="24" t="str">
        <x:v>PM10</x:v>
      </x:c>
      <x:c r="B17" s="25" t="n">
        <x:v>4</x:v>
      </x:c>
      <x:c r="C17" s="26" t="n">
        <x:f>WORKDAY('Tong quan'!$B$5-1,16)</x:f>
        <x:v>46307</x:v>
      </x:c>
      <x:c r="D17" s="26" t="n">
        <x:f>WORKDAY('Tong quan'!$B$5-1,17)</x:f>
        <x:v>46308</x:v>
      </x:c>
      <x:c r="E17" s="25" t="n">
        <x:v>3</x:v>
      </x:c>
      <x:c r="F17" s="24" t="str">
        <x:v>Rà báo cáo dưới góc nhìn người nhận. Kiểm tra mục tiêu, kết quả, bằng chứng, ảnh hưởng và giới hạn có dễ hiểu không.</x:v>
      </x:c>
      <x:c r="G17" s="24" t="str">
        <x:v>Báo cáo phân biệt đã xác minh, nghi vấn và không kiểm chứng được. Không dùng lời khẳng định vượt bằng chứng.</x:v>
      </x:c>
      <x:c r="H17" s="24" t="str">
        <x:v>PM09, BA09</x:v>
      </x:c>
      <x:c r="I17" s="24" t="str">
        <x:v>BA</x:v>
      </x:c>
      <x:c r="J17" s="27" t="str">
        <x:v>Chưa bắt đầu</x:v>
      </x:c>
      <x:c r="K17" s="27" t="str">
        <x:v>Chưa kiểm tra</x:v>
      </x:c>
      <x:c r="L17" s="27"/>
      <x:c r="M17" s="27"/>
      <x:c r="N17" s="27"/>
      <x:c r="O17" s="28" t="str">
        <x:f>IF(J17="Hoàn thành",IF(AND(K17="Đạt",L17&lt;&gt;""),"Đã nghiệm thu","Thiếu xác nhận"),J17)</x:f>
        <x:v>Chưa bắt đầu</x:v>
      </x:c>
      <x:c r="P17" s="35" t="str">
        <x:v>Chưa có báo cáo pentest trong src/</x:v>
      </x:c>
    </x:row>
    <x:row r="18" ht="80" customHeight="1">
      <x:c r="A18" s="18" t="str">
        <x:v>PM11</x:v>
      </x:c>
      <x:c r="B18" s="20" t="n">
        <x:v>4</x:v>
      </x:c>
      <x:c r="C18" s="21" t="n">
        <x:f>WORKDAY('Tong quan'!$B$5-1,18)</x:f>
        <x:v>46309</x:v>
      </x:c>
      <x:c r="D18" s="21" t="n">
        <x:f>WORKDAY('Tong quan'!$B$5-1,19)</x:f>
        <x:v>46310</x:v>
      </x:c>
      <x:c r="E18" s="20" t="n">
        <x:v>3</x:v>
      </x:c>
      <x:c r="F18" s="18" t="str">
        <x:v>Khóa phạm vi tính năng. Bỏ Could và hoãn Should chưa cần thiết. Kiểm tra chi phí, thời gian và năng lực còn lại.</x:v>
      </x:c>
      <x:c r="G18" s="18" t="str">
        <x:v>Có danh sách tính năng khóa, việc hoãn và lý do. Tuần 5 chỉ hoàn thiện Must, sửa lỗi và đánh giá.</x:v>
      </x:c>
      <x:c r="H18" s="18" t="str">
        <x:v>PM10</x:v>
      </x:c>
      <x:c r="I18" s="18" t="str">
        <x:v>Cả nhóm</x:v>
      </x:c>
      <x:c r="J18" s="22" t="str">
        <x:v>Chưa bắt đầu</x:v>
      </x:c>
      <x:c r="K18" s="22" t="str">
        <x:v>Chưa kiểm tra</x:v>
      </x:c>
      <x:c r="L18" s="22"/>
      <x:c r="M18" s="22"/>
      <x:c r="N18" s="22"/>
      <x:c r="O18" s="23" t="str">
        <x:f>IF(J18="Hoàn thành",IF(AND(K18="Đạt",L18&lt;&gt;""),"Đã nghiệm thu","Thiếu xác nhận"),J18)</x:f>
        <x:v>Chưa bắt đầu</x:v>
      </x:c>
      <x:c r="P18" s="35" t="str">
        <x:v>Tab Hien trang; WORKLOG.md</x:v>
      </x:c>
    </x:row>
    <x:row r="19" ht="80" customHeight="1">
      <x:c r="A19" s="18" t="str">
        <x:v>PM12</x:v>
      </x:c>
      <x:c r="B19" s="20" t="n">
        <x:v>4</x:v>
      </x:c>
      <x:c r="C19" s="21" t="n">
        <x:f>WORKDAY('Tong quan'!$B$5-1,20)</x:f>
        <x:v>46311</x:v>
      </x:c>
      <x:c r="D19" s="21" t="n">
        <x:f>WORKDAY('Tong quan'!$B$5-1,20)</x:f>
        <x:v>46311</x:v>
      </x:c>
      <x:c r="E19" s="20" t="n">
        <x:v>3</x:v>
      </x:c>
      <x:c r="F19" s="18" t="str">
        <x:v>Chủ trì G3 sau baseline. Cùng BA chốt ngưỡng chất lượng AI trước khi mở tập đánh giá giữ riêng.</x:v>
      </x:c>
      <x:c r="G19" s="18" t="str">
        <x:v>Có kết quả đo trên tập phát triển và tiêu chí nghiệm thu AI đã ghi ngày/phiên bản. Không đặt lại ngưỡng để chạy theo kết quả holdout.</x:v>
      </x:c>
      <x:c r="H19" s="18" t="str">
        <x:v>PM11</x:v>
      </x:c>
      <x:c r="I19" s="18" t="str">
        <x:v>BA; 2 Dev</x:v>
      </x:c>
      <x:c r="J19" s="22" t="str">
        <x:v>Chưa bắt đầu</x:v>
      </x:c>
      <x:c r="K19" s="22" t="str">
        <x:v>Chưa kiểm tra</x:v>
      </x:c>
      <x:c r="L19" s="22"/>
      <x:c r="M19" s="22"/>
      <x:c r="N19" s="22"/>
      <x:c r="O19" s="23" t="str">
        <x:f>IF(J19="Hoàn thành",IF(AND(K19="Đạt",L19&lt;&gt;""),"Đã nghiệm thu","Thiếu xác nhận"),J19)</x:f>
        <x:v>Chưa bắt đầu</x:v>
      </x:c>
      <x:c r="P19" s="35" t="str">
        <x:v>eval/results/report.md chỉ là mẫu</x:v>
      </x:c>
    </x:row>
    <x:row r="20" ht="80" customHeight="1">
      <x:c r="A20" s="24" t="str">
        <x:v>PM13</x:v>
      </x:c>
      <x:c r="B20" s="25" t="n">
        <x:v>5</x:v>
      </x:c>
      <x:c r="C20" s="26" t="n">
        <x:f>WORKDAY('Tong quan'!$B$5-1,21)</x:f>
        <x:v>46314</x:v>
      </x:c>
      <x:c r="D20" s="26" t="n">
        <x:f>WORKDAY('Tong quan'!$B$5-1,22)</x:f>
        <x:v>46315</x:v>
      </x:c>
      <x:c r="E20" s="25" t="n">
        <x:v>3</x:v>
      </x:c>
      <x:c r="F20" s="24" t="str">
        <x:v>Điều phối sửa lỗi. Ưu tiên lỗi an toàn, sai kết luận, mất dữ liệu, không chạy được luồng chính. Kiểm soát yêu cầu mới.</x:v>
      </x:c>
      <x:c r="G20" s="24" t="str">
        <x:v>Mỗi lỗi có mức độ, người sửa và người kiểm lại. Lỗi chặn không bị đổi tên thành hạn chế để thông qua.</x:v>
      </x:c>
      <x:c r="H20" s="24" t="str">
        <x:v>PM12</x:v>
      </x:c>
      <x:c r="I20" s="24" t="str">
        <x:v>BA</x:v>
      </x:c>
      <x:c r="J20" s="27" t="str">
        <x:v>Chưa bắt đầu</x:v>
      </x:c>
      <x:c r="K20" s="27" t="str">
        <x:v>Chưa kiểm tra</x:v>
      </x:c>
      <x:c r="L20" s="27"/>
      <x:c r="M20" s="27"/>
      <x:c r="N20" s="27"/>
      <x:c r="O20" s="28" t="str">
        <x:f>IF(J20="Hoàn thành",IF(AND(K20="Đạt",L20&lt;&gt;""),"Đã nghiệm thu","Thiếu xác nhận"),J20)</x:f>
        <x:v>Chưa bắt đầu</x:v>
      </x:c>
      <x:c r="P20" s="35" t="str">
        <x:v>tests/; eval/results/report.md</x:v>
      </x:c>
    </x:row>
    <x:row r="21" ht="80" customHeight="1">
      <x:c r="A21" s="18" t="str">
        <x:v>PM14</x:v>
      </x:c>
      <x:c r="B21" s="20" t="n">
        <x:v>5</x:v>
      </x:c>
      <x:c r="C21" s="21" t="n">
        <x:f>WORKDAY('Tong quan'!$B$5-1,23)</x:f>
        <x:v>46316</x:v>
      </x:c>
      <x:c r="D21" s="21" t="n">
        <x:f>WORKDAY('Tong quan'!$B$5-1,24)</x:f>
        <x:v>46317</x:v>
      </x:c>
      <x:c r="E21" s="20" t="n">
        <x:v>3</x:v>
      </x:c>
      <x:c r="F21" s="18" t="str">
        <x:v>Tham gia UAT: kiểm thử nghiệm thu dưới vai Operator. Kiểm tra báo cáo và luồng dùng thực tế.</x:v>
      </x:c>
      <x:c r="G21" s="18" t="str">
        <x:v>Hoàn thành các bước theo kịch bản BA; ghi rõ đạt/chưa đạt, phiên bản và bằng chứng. BA giữ vai Approver khi kiểm thử tách quyền.</x:v>
      </x:c>
      <x:c r="H21" s="18" t="str">
        <x:v>PM13, BA13</x:v>
      </x:c>
      <x:c r="I21" s="18" t="str">
        <x:v>BA</x:v>
      </x:c>
      <x:c r="J21" s="22" t="str">
        <x:v>Chưa bắt đầu</x:v>
      </x:c>
      <x:c r="K21" s="22" t="str">
        <x:v>Chưa kiểm tra</x:v>
      </x:c>
      <x:c r="L21" s="22"/>
      <x:c r="M21" s="22"/>
      <x:c r="N21" s="22"/>
      <x:c r="O21" s="23" t="str">
        <x:f>IF(J21="Hoàn thành",IF(AND(K21="Đạt",L21&lt;&gt;""),"Đã nghiệm thu","Thiếu xác nhận"),J21)</x:f>
        <x:v>Chưa bắt đầu</x:v>
      </x:c>
      <x:c r="P21" s="35" t="str">
        <x:v>Checklist Nghiem thu</x:v>
      </x:c>
    </x:row>
    <x:row r="22" ht="80" customHeight="1">
      <x:c r="A22" s="18" t="str">
        <x:v>PM15</x:v>
      </x:c>
      <x:c r="B22" s="20" t="n">
        <x:v>5</x:v>
      </x:c>
      <x:c r="C22" s="21" t="n">
        <x:f>WORKDAY('Tong quan'!$B$5-1,25)</x:f>
        <x:v>46318</x:v>
      </x:c>
      <x:c r="D22" s="21" t="n">
        <x:f>WORKDAY('Tong quan'!$B$5-1,25)</x:f>
        <x:v>46318</x:v>
      </x:c>
      <x:c r="E22" s="20" t="n">
        <x:v>3</x:v>
      </x:c>
      <x:c r="F22" s="18" t="str">
        <x:v>Chủ trì G4 và quyết định bản ứng viên bàn giao. Chốt phần có thể trình diễn và các giới hạn phải công bố.</x:v>
      </x:c>
      <x:c r="G22" s="18" t="str">
        <x:v>Không còn lỗi nghiêm trọng ảnh hưởng an toàn, luồng chính hoặc bằng chứng. Mọi Must có kết quả nghiệm thu; lưu quyết định phát hành.</x:v>
      </x:c>
      <x:c r="H22" s="18" t="str">
        <x:v>PM14</x:v>
      </x:c>
      <x:c r="I22" s="18" t="str">
        <x:v>BA; 2 Dev</x:v>
      </x:c>
      <x:c r="J22" s="22" t="str">
        <x:v>Chưa bắt đầu</x:v>
      </x:c>
      <x:c r="K22" s="22" t="str">
        <x:v>Chưa kiểm tra</x:v>
      </x:c>
      <x:c r="L22" s="22"/>
      <x:c r="M22" s="22"/>
      <x:c r="N22" s="22"/>
      <x:c r="O22" s="23" t="str">
        <x:f>IF(J22="Hoàn thành",IF(AND(K22="Đạt",L22&lt;&gt;""),"Đã nghiệm thu","Thiếu xác nhận"),J22)</x:f>
        <x:v>Chưa bắt đầu</x:v>
      </x:c>
      <x:c r="P22" s="35" t="str">
        <x:v>Checkpoint G4; ma trận BA15</x:v>
      </x:c>
    </x:row>
    <x:row r="23" ht="80" customHeight="1">
      <x:c r="A23" s="24" t="str">
        <x:v>PM16</x:v>
      </x:c>
      <x:c r="B23" s="25" t="n">
        <x:v>6</x:v>
      </x:c>
      <x:c r="C23" s="26" t="n">
        <x:f>WORKDAY('Tong quan'!$B$5-1,26)</x:f>
        <x:v>46321</x:v>
      </x:c>
      <x:c r="D23" s="26" t="n">
        <x:f>WORKDAY('Tong quan'!$B$5-1,27)</x:f>
        <x:v>46322</x:v>
      </x:c>
      <x:c r="E23" s="25" t="n">
        <x:v>4</x:v>
      </x:c>
      <x:c r="F23" s="24" t="str">
        <x:v>Làm slide khoảng 10 trang và lời thuyết trình. Dùng số đo thật, nêu rõ giới hạn. Cùng BA hoàn thiện README mang tên dự án và thành viên.</x:v>
      </x:c>
      <x:c r="G23" s="24" t="str">
        <x:v>Slide có căn cứ từ eval, không lấy số mẫu &gt;80%, &lt;3 giây làm thành tích. Lợi ích ước tính phải có giả định; xuất định dạng đã xác nhận.</x:v>
      </x:c>
      <x:c r="H23" s="24" t="str">
        <x:v>PM15</x:v>
      </x:c>
      <x:c r="I23" s="24" t="str">
        <x:v>BA</x:v>
      </x:c>
      <x:c r="J23" s="27" t="str">
        <x:v>Chưa bắt đầu</x:v>
      </x:c>
      <x:c r="K23" s="27" t="str">
        <x:v>Chưa kiểm tra</x:v>
      </x:c>
      <x:c r="L23" s="27"/>
      <x:c r="M23" s="27"/>
      <x:c r="N23" s="27"/>
      <x:c r="O23" s="28" t="str">
        <x:f>IF(J23="Hoàn thành",IF(AND(K23="Đạt",L23&lt;&gt;""),"Đã nghiệm thu","Thiếu xác nhận"),J23)</x:f>
        <x:v>Chưa bắt đầu</x:v>
      </x:c>
      <x:c r="P23" s="35" t="str">
        <x:v>README.md; README_boilerplate.md; presentation/README.md</x:v>
      </x:c>
    </x:row>
    <x:row r="24" ht="80" customHeight="1">
      <x:c r="A24" s="18" t="str">
        <x:v>PM17</x:v>
      </x:c>
      <x:c r="B24" s="20" t="n">
        <x:v>6</x:v>
      </x:c>
      <x:c r="C24" s="21" t="n">
        <x:f>WORKDAY('Tong quan'!$B$5-1,28)</x:f>
        <x:v>46323</x:v>
      </x:c>
      <x:c r="D24" s="21" t="n">
        <x:f>WORKDAY('Tong quan'!$B$5-1,29)</x:f>
        <x:v>46324</x:v>
      </x:c>
      <x:c r="E24" s="20" t="n">
        <x:v>3</x:v>
      </x:c>
      <x:c r="F24" s="18" t="str">
        <x:v>Tổ chức hai lượt kiểm thử demo và ít nhất ba lượt tập trình bày. Kiểm tra video 3–5 phút, phương án dự phòng và hồ sơ.</x:v>
      </x:c>
      <x:c r="G24" s="18" t="str">
        <x:v>Bốn người nói được phần của mình. Video ghi đúng bản chạy; slide/video không mô tả tính năng chưa được kiểm chứng.</x:v>
      </x:c>
      <x:c r="H24" s="18" t="str">
        <x:v>PM16</x:v>
      </x:c>
      <x:c r="I24" s="18" t="str">
        <x:v>Cả nhóm</x:v>
      </x:c>
      <x:c r="J24" s="22" t="str">
        <x:v>Chưa bắt đầu</x:v>
      </x:c>
      <x:c r="K24" s="22" t="str">
        <x:v>Chưa kiểm tra</x:v>
      </x:c>
      <x:c r="L24" s="22"/>
      <x:c r="M24" s="22"/>
      <x:c r="N24" s="22"/>
      <x:c r="O24" s="23" t="str">
        <x:f>IF(J24="Hoàn thành",IF(AND(K24="Đạt",L24&lt;&gt;""),"Đã nghiệm thu","Thiếu xác nhận"),J24)</x:f>
        <x:v>Chưa bắt đầu</x:v>
      </x:c>
      <x:c r="P24" s="35" t="str">
        <x:v>presentation/; docs/guide/chapter-09.md</x:v>
      </x:c>
    </x:row>
    <x:row r="25" ht="80" customHeight="1">
      <x:c r="A25" s="18" t="str">
        <x:v>PM18</x:v>
      </x:c>
      <x:c r="B25" s="20" t="n">
        <x:v>6</x:v>
      </x:c>
      <x:c r="C25" s="21" t="n">
        <x:f>WORKDAY('Tong quan'!$B$5-1,30)</x:f>
        <x:v>46325</x:v>
      </x:c>
      <x:c r="D25" s="21" t="n">
        <x:f>WORKDAY('Tong quan'!$B$5-1,30)</x:f>
        <x:v>46325</x:v>
      </x:c>
      <x:c r="E25" s="20" t="n">
        <x:v>3</x:v>
      </x:c>
      <x:c r="F25" s="18" t="str">
        <x:v>Chủ trì G5. Rà đủ hồ sơ, URL và quyền truy cập của người nhận. Phân công người nộp và người xác nhận nộp.</x:v>
      </x:c>
      <x:c r="G25" s="18" t="str">
        <x:v>Có checklist ký xác nhận, bản mã nguồn tương ứng, đường dẫn bàn giao và bằng chứng nộp khi nhóm thực hiện nộp.</x:v>
      </x:c>
      <x:c r="H25" s="18" t="str">
        <x:v>PM17</x:v>
      </x:c>
      <x:c r="I25" s="18" t="str">
        <x:v>BA; 2 Dev</x:v>
      </x:c>
      <x:c r="J25" s="22" t="str">
        <x:v>Chưa bắt đầu</x:v>
      </x:c>
      <x:c r="K25" s="22" t="str">
        <x:v>Chưa kiểm tra</x:v>
      </x:c>
      <x:c r="L25" s="22"/>
      <x:c r="M25" s="22"/>
      <x:c r="N25" s="22"/>
      <x:c r="O25" s="23" t="str">
        <x:f>IF(J25="Hoàn thành",IF(AND(K25="Đạt",L25&lt;&gt;""),"Đã nghiệm thu","Thiếu xác nhận"),J25)</x:f>
        <x:v>Chưa bắt đầu</x:v>
      </x:c>
      <x:c r="P25" s="35" t="str">
        <x:v>10 deliverables trong README.md</x:v>
      </x:c>
    </x:row>
  </x:sheetData>
  <x:conditionalFormatting sqref="O8:O25">
    <x:cfRule type="containsText" dxfId="1" priority="1" operator="containsText" text="Thiếu xác nhận"/>
  </x:conditionalFormatting>
  <x:conditionalFormatting sqref="J8:J25">
    <x:cfRule type="containsText" dxfId="2" priority="2" operator="containsText" text="Bị chặn"/>
  </x:conditionalFormatting>
  <x:conditionalFormatting sqref="D8:D25">
    <x:cfRule type="expression" dxfId="3"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a2a1868e0c6748c5"/>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 min="16" max="16" width="42.5" hidden="0" customWidth="1"/>
  </x:cols>
  <x:sheetData>
    <x:row r="1" ht="24" customHeight="1">
      <x:c r="A1" s="2"/>
      <x:c r="B1" s="2"/>
      <x:c r="C1" s="2"/>
      <x:c r="D1" s="2"/>
      <x:c r="E1" s="2"/>
      <x:c r="F1" s="2"/>
      <x:c r="G1" s="2"/>
      <x:c r="H1" s="2"/>
      <x:c r="I1" s="2"/>
      <x:c r="J1" s="2"/>
      <x:c r="K1" s="2"/>
      <x:c r="L1" s="2"/>
      <x:c r="M1" s="2"/>
      <x:c r="N1" s="2"/>
      <x:c r="O1" s="2"/>
      <x:c r="P1" s="1"/>
    </x:row>
    <x:row r="2" ht="24" customHeight="1">
      <x:c r="A2" s="3" t="str">
        <x:v>BA | BA chính, kiểm thử nghiệp vụ</x:v>
      </x:c>
      <x:c r="B2" s="2"/>
      <x:c r="C2" s="2"/>
      <x:c r="D2" s="2"/>
      <x:c r="E2" s="2"/>
      <x:c r="F2" s="2"/>
      <x:c r="G2" s="2"/>
      <x:c r="H2" s="2"/>
      <x:c r="I2" s="2"/>
      <x:c r="J2" s="2"/>
      <x:c r="K2" s="2"/>
      <x:c r="L2" s="2"/>
      <x:c r="M2" s="2"/>
      <x:c r="N2" s="2"/>
      <x:c r="O2" s="2"/>
      <x:c r="P2" s="1"/>
    </x:row>
    <x:row r="3" ht="24" customHeight="1">
      <x:c r="A3" s="4"/>
      <x:c r="B3" s="4"/>
      <x:c r="C3" s="4"/>
      <x:c r="D3" s="4"/>
      <x:c r="E3" s="4"/>
      <x:c r="F3" s="4"/>
      <x:c r="G3" s="4"/>
      <x:c r="H3" s="4"/>
      <x:c r="I3" s="4"/>
      <x:c r="J3" s="4"/>
      <x:c r="K3" s="4"/>
      <x:c r="L3" s="4"/>
      <x:c r="M3" s="4"/>
      <x:c r="N3" s="4"/>
      <x:c r="O3" s="4"/>
      <x:c r="P3" s="1"/>
    </x:row>
    <x:row r="4" ht="24" customHeight="1">
      <x:c r="A4" s="2" t="str">
        <x:v>Đối chiếu P-077 ngày 18/09/2026. Deadline riêng ở cột D; cơ sở hiện trạng ở cột P. Lịch chưa được nhóm xác nhận.</x:v>
      </x:c>
      <x:c r="B4" s="2"/>
      <x:c r="C4" s="2"/>
      <x:c r="D4" s="2"/>
      <x:c r="E4" s="2"/>
      <x:c r="F4" s="2"/>
      <x:c r="G4" s="2"/>
      <x:c r="H4" s="2"/>
      <x:c r="I4" s="2"/>
      <x:c r="J4" s="2"/>
      <x:c r="K4" s="2"/>
      <x:c r="L4" s="2"/>
      <x:c r="M4" s="2"/>
      <x:c r="N4" s="2"/>
      <x:c r="O4" s="2"/>
      <x:c r="P4" s="1"/>
    </x:row>
    <x:row r="5" ht="24" customHeight="1">
      <x:c r="A5" s="2" t="str">
        <x:v>Ô vàng để cập nhật. Hoàn thành cần người kiểm tra chọn Đạt và bằng chứng. Kết quả audit không tự đánh dấu task tương lai là xong.</x:v>
      </x:c>
      <x:c r="B5" s="2"/>
      <x:c r="C5" s="2"/>
      <x:c r="D5" s="2"/>
      <x:c r="E5" s="2"/>
      <x:c r="F5" s="2"/>
      <x:c r="G5" s="2"/>
      <x:c r="H5" s="2"/>
      <x:c r="I5" s="2"/>
      <x:c r="J5" s="2"/>
      <x:c r="K5" s="2"/>
      <x:c r="L5" s="2"/>
      <x:c r="M5" s="2"/>
      <x:c r="N5" s="2"/>
      <x:c r="O5" s="2"/>
      <x:c r="P5" s="1"/>
    </x:row>
    <x:row r="6" ht="24" customHeight="1">
      <x:c r="A6" s="2"/>
      <x:c r="B6" s="2"/>
      <x:c r="C6" s="2"/>
      <x:c r="D6" s="2"/>
      <x:c r="E6" s="2"/>
      <x:c r="F6" s="2"/>
      <x:c r="G6" s="2"/>
      <x:c r="H6" s="2"/>
      <x:c r="I6" s="2"/>
      <x:c r="J6" s="2"/>
      <x:c r="K6" s="2"/>
      <x:c r="L6" s="2"/>
      <x:c r="M6" s="2"/>
      <x:c r="N6" s="2"/>
      <x:c r="O6" s="2"/>
      <x:c r="P6" s="1"/>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c r="P7" s="33" t="str">
        <x:v>Cơ sở từ P-077 / nơi cần bổ sung</x:v>
      </x:c>
    </x:row>
    <x:row r="8" ht="80" customHeight="1">
      <x:c r="A8" s="24" t="str">
        <x:v>BA01</x:v>
      </x:c>
      <x:c r="B8" s="25" t="n">
        <x:v>1</x:v>
      </x:c>
      <x:c r="C8" s="26" t="n">
        <x:f>WORKDAY('Tong quan'!$B$5-1,1)</x:f>
        <x:v>46286</x:v>
      </x:c>
      <x:c r="D8" s="26" t="n">
        <x:f>WORKDAY('Tong quan'!$B$5-1,2)</x:f>
        <x:v>46287</x:v>
      </x:c>
      <x:c r="E8" s="25" t="n">
        <x:v>4</x:v>
      </x:c>
      <x:c r="F8" s="24" t="str">
        <x:v>Đọc ảnh đề tài, quy định và tab Hiện trạng. Soạn bài toán/người dùng/AS-IS cho PentestSyndicate vì repo hiện chỉ có tài liệu mẫu.</x:v>
      </x:c>
      <x:c r="G8" s="24" t="str">
        <x:v>Bản yêu cầu phân biệt dữ kiện và giả định; có phạm vi lab và nhu cầu Operator/Approver. Không coi nội dung sách hướng dẫn là nghiên cứu người dùng.</x:v>
      </x:c>
      <x:c r="H8" s="24" t="str">
        <x:v>PM01</x:v>
      </x:c>
      <x:c r="I8" s="24" t="str">
        <x:v>PM</x:v>
      </x:c>
      <x:c r="J8" s="27" t="str">
        <x:v>Chưa bắt đầu</x:v>
      </x:c>
      <x:c r="K8" s="27" t="str">
        <x:v>Chưa kiểm tra</x:v>
      </x:c>
      <x:c r="L8" s="27"/>
      <x:c r="M8" s="27"/>
      <x:c r="N8" s="27"/>
      <x:c r="O8" s="28" t="str">
        <x:f>IF(J8="Hoàn thành",IF(AND(K8="Đạt",L8&lt;&gt;""),"Đã nghiệm thu","Thiếu xác nhận"),J8)</x:f>
        <x:v>Chưa bắt đầu</x:v>
      </x:c>
      <x:c r="P8" s="35" t="str">
        <x:v>README.md là template; ảnh đề tài là đầu vào</x:v>
      </x:c>
    </x:row>
    <x:row r="9" ht="80" customHeight="1">
      <x:c r="A9" s="18" t="str">
        <x:v>BA02</x:v>
      </x:c>
      <x:c r="B9" s="20" t="n">
        <x:v>1</x:v>
      </x:c>
      <x:c r="C9" s="21" t="n">
        <x:f>WORKDAY('Tong quan'!$B$5-1,3)</x:f>
        <x:v>46288</x:v>
      </x:c>
      <x:c r="D9" s="21" t="n">
        <x:f>WORKDAY('Tong quan'!$B$5-1,3)</x:f>
        <x:v>46288</x:v>
      </x:c>
      <x:c r="E9" s="20" t="n">
        <x:v>4</x:v>
      </x:c>
      <x:c r="F9" s="18" t="str">
        <x:v>Vẽ TO-BE và danh sách trạng thái run/step/approval. Xác định dữ liệu target, finding, evidence và quy tắc quyền để bổ sung schema chat đang có.</x:v>
      </x:c>
      <x:c r="G9" s="18" t="str">
        <x:v>Bao phủ tạo/chạy/chờ/duyệt/từ chối/hết hạn/dừng/lỗi/kết thúc. Rủi ro được xét cho mọi agent có hành động thay đổi trạng thái.</x:v>
      </x:c>
      <x:c r="H9" s="18" t="str">
        <x:v>BA01</x:v>
      </x:c>
      <x:c r="I9" s="18" t="str">
        <x:v>PM; 2 Dev</x:v>
      </x:c>
      <x:c r="J9" s="22" t="str">
        <x:v>Chưa bắt đầu</x:v>
      </x:c>
      <x:c r="K9" s="22" t="str">
        <x:v>Chưa kiểm tra</x:v>
      </x:c>
      <x:c r="L9" s="22"/>
      <x:c r="M9" s="22"/>
      <x:c r="N9" s="22"/>
      <x:c r="O9" s="23" t="str">
        <x:f>IF(J9="Hoàn thành",IF(AND(K9="Đạt",L9&lt;&gt;""),"Đã nghiệm thu","Thiếu xác nhận"),J9)</x:f>
        <x:v>Chưa bắt đầu</x:v>
      </x:c>
      <x:c r="P9" s="35" t="str">
        <x:v>src/agents/state.py; src/models/schemas.py</x:v>
      </x:c>
    </x:row>
    <x:row r="10" ht="80" customHeight="1">
      <x:c r="A10" s="18" t="str">
        <x:v>BA03</x:v>
      </x:c>
      <x:c r="B10" s="20" t="n">
        <x:v>1</x:v>
      </x:c>
      <x:c r="C10" s="21" t="n">
        <x:f>WORKDAY('Tong quan'!$B$5-1,4)</x:f>
        <x:v>46289</x:v>
      </x:c>
      <x:c r="D10" s="21" t="n">
        <x:f>WORKDAY('Tong quan'!$B$5-1,5)</x:f>
        <x:v>46290</x:v>
      </x:c>
      <x:c r="E10" s="20" t="n">
        <x:v>5</x:v>
      </x:c>
      <x:c r="F10" s="18" t="str">
        <x:v>Viết user story và Given–When–Then cho Must; phác 3 màn hình tạo đợt, tiến trình/phê duyệt và báo cáo. Lập ma trận nguồn yêu cầu.</x:v>
      </x:c>
      <x:c r="G10" s="18" t="str">
        <x:v>Mỗi Must có test được, người làm và bằng chứng cần nộp. Phân biệt tài liệu dự án cần viết với docs/guide là tài liệu tham khảo.</x:v>
      </x:c>
      <x:c r="H10" s="18" t="str">
        <x:v>BA02</x:v>
      </x:c>
      <x:c r="I10" s="18" t="str">
        <x:v>PM; 2 Dev</x:v>
      </x:c>
      <x:c r="J10" s="22" t="str">
        <x:v>Chưa bắt đầu</x:v>
      </x:c>
      <x:c r="K10" s="22" t="str">
        <x:v>Chưa kiểm tra</x:v>
      </x:c>
      <x:c r="L10" s="22"/>
      <x:c r="M10" s="22"/>
      <x:c r="N10" s="22"/>
      <x:c r="O10" s="23" t="str">
        <x:f>IF(J10="Hoàn thành",IF(AND(K10="Đạt",L10&lt;&gt;""),"Đã nghiệm thu","Thiếu xác nhận"),J10)</x:f>
        <x:v>Chưa bắt đầu</x:v>
      </x:c>
      <x:c r="P10" s="35" t="str">
        <x:v>Ảnh VSOC-04; ARCHITECTURE.md là mẫu</x:v>
      </x:c>
    </x:row>
    <x:row r="11" ht="80" customHeight="1">
      <x:c r="A11" s="24" t="str">
        <x:v>BA04</x:v>
      </x:c>
      <x:c r="B11" s="25" t="n">
        <x:v>2</x:v>
      </x:c>
      <x:c r="C11" s="26" t="n">
        <x:f>WORKDAY('Tong quan'!$B$5-1,6)</x:f>
        <x:v>46293</x:v>
      </x:c>
      <x:c r="D11" s="26" t="n">
        <x:f>WORKDAY('Tong quan'!$B$5-1,7)</x:f>
        <x:v>46294</x:v>
      </x:c>
      <x:c r="E11" s="25" t="n">
        <x:v>5</x:v>
      </x:c>
      <x:c r="F11" s="24" t="str">
        <x:v>Tạo tập dữ liệu eval vì eval/results/report.md hiện chỉ là mẫu. Đề xuất 24 ca có nhãn: 8 phát hiện, 4 sạch, 6 quyền/HITL, 4 lỗi và 2 chỉ dẫn độc hại.</x:v>
      </x:c>
      <x:c r="G11" s="24" t="str">
        <x:v>Lưu dữ liệu/đáp án trong eval/, tách 16 ca phát triển và 8 ca giữ riêng có phân bố phù hợp. Đáp án kỹ thuật được Dev1 kiểm tra trên lab.</x:v>
      </x:c>
      <x:c r="H11" s="24" t="str">
        <x:v>BA03</x:v>
      </x:c>
      <x:c r="I11" s="24" t="str">
        <x:v>PM; Dev1</x:v>
      </x:c>
      <x:c r="J11" s="27" t="str">
        <x:v>Chưa bắt đầu</x:v>
      </x:c>
      <x:c r="K11" s="27" t="str">
        <x:v>Chưa kiểm tra</x:v>
      </x:c>
      <x:c r="L11" s="27"/>
      <x:c r="M11" s="27"/>
      <x:c r="N11" s="27"/>
      <x:c r="O11" s="28" t="str">
        <x:f>IF(J11="Hoàn thành",IF(AND(K11="Đạt",L11&lt;&gt;""),"Đã nghiệm thu","Thiếu xác nhận"),J11)</x:f>
        <x:v>Chưa bắt đầu</x:v>
      </x:c>
      <x:c r="P11" s="35" t="str">
        <x:v>eval/results/report.md; chưa có dataset/runner</x:v>
      </x:c>
    </x:row>
    <x:row r="12" ht="80" customHeight="1">
      <x:c r="A12" s="18" t="str">
        <x:v>BA05</x:v>
      </x:c>
      <x:c r="B12" s="20" t="n">
        <x:v>2</x:v>
      </x:c>
      <x:c r="C12" s="21" t="n">
        <x:f>WORKDAY('Tong quan'!$B$5-1,8)</x:f>
        <x:v>46295</x:v>
      </x:c>
      <x:c r="D12" s="21" t="n">
        <x:f>WORKDAY('Tong quan'!$B$5-1,9)</x:f>
        <x:v>46296</x:v>
      </x:c>
      <x:c r="E12" s="20" t="n">
        <x:v>4</x:v>
      </x:c>
      <x:c r="F12" s="18" t="str">
        <x:v>Kiểm thử đăng nhập, tách vai trò, nhập phạm vi và tạo đợt. Kiểm tra màn hình với tiêu chí và dữ liệu hợp lệ/không hợp lệ.</x:v>
      </x:c>
      <x:c r="G12" s="18" t="str">
        <x:v>Lỗi có bước tái hiện, kỳ vọng, thực tế, mức độ và bằng chứng. Thử gọi API trực tiếp cho quyền, không chỉ nhìn nút trên UI.</x:v>
      </x:c>
      <x:c r="H12" s="18" t="str">
        <x:v>BA04, D204</x:v>
      </x:c>
      <x:c r="I12" s="18" t="str">
        <x:v>Dev2; PM</x:v>
      </x:c>
      <x:c r="J12" s="22" t="str">
        <x:v>Chưa bắt đầu</x:v>
      </x:c>
      <x:c r="K12" s="22" t="str">
        <x:v>Chưa kiểm tra</x:v>
      </x:c>
      <x:c r="L12" s="22"/>
      <x:c r="M12" s="22"/>
      <x:c r="N12" s="22"/>
      <x:c r="O12" s="23" t="str">
        <x:f>IF(J12="Hoàn thành",IF(AND(K12="Đạt",L12&lt;&gt;""),"Đã nghiệm thu","Thiếu xác nhận"),J12)</x:f>
        <x:v>Chưa bắt đầu</x:v>
      </x:c>
      <x:c r="P12" s="35" t="str">
        <x:v>src/api/routes.py chưa có auth/run</x:v>
      </x:c>
    </x:row>
    <x:row r="13" ht="80" customHeight="1">
      <x:c r="A13" s="18" t="str">
        <x:v>BA06</x:v>
      </x:c>
      <x:c r="B13" s="20" t="n">
        <x:v>2</x:v>
      </x:c>
      <x:c r="C13" s="21" t="n">
        <x:f>WORKDAY('Tong quan'!$B$5-1,10)</x:f>
        <x:v>46297</x:v>
      </x:c>
      <x:c r="D13" s="21" t="n">
        <x:f>WORKDAY('Tong quan'!$B$5-1,10)</x:f>
        <x:v>46297</x:v>
      </x:c>
      <x:c r="E13" s="20" t="n">
        <x:v>3</x:v>
      </x:c>
      <x:c r="F13" s="18" t="str">
        <x:v>Kiểm thử luồng Recon tích hợp tại G1. Đối chiếu đầu vào, trạng thái và bằng chứng trên lab.</x:v>
      </x:c>
      <x:c r="G13" s="18" t="str">
        <x:v>Ghi rõ thành phần nào dùng công cụ thật, phần nào còn mô phỏng. Xác nhận mục tiêu ngoài phạm vi bị chặn.</x:v>
      </x:c>
      <x:c r="H13" s="18" t="str">
        <x:v>BA05, D105, D205</x:v>
      </x:c>
      <x:c r="I13" s="18" t="str">
        <x:v>PM; Dev1</x:v>
      </x:c>
      <x:c r="J13" s="22" t="str">
        <x:v>Chưa bắt đầu</x:v>
      </x:c>
      <x:c r="K13" s="22" t="str">
        <x:v>Chưa kiểm tra</x:v>
      </x:c>
      <x:c r="L13" s="22"/>
      <x:c r="M13" s="22"/>
      <x:c r="N13" s="22"/>
      <x:c r="O13" s="23" t="str">
        <x:f>IF(J13="Hoàn thành",IF(AND(K13="Đạt",L13&lt;&gt;""),"Đã nghiệm thu","Thiếu xác nhận"),J13)</x:f>
        <x:v>Chưa bắt đầu</x:v>
      </x:c>
      <x:c r="P13" s="35" t="str">
        <x:v>tests/test_agents/test_graph.py chỉ kiểm tra cấu trúc</x:v>
      </x:c>
    </x:row>
    <x:row r="14" ht="80" customHeight="1">
      <x:c r="A14" s="24" t="str">
        <x:v>BA07</x:v>
      </x:c>
      <x:c r="B14" s="25" t="n">
        <x:v>3</x:v>
      </x:c>
      <x:c r="C14" s="26" t="n">
        <x:f>WORKDAY('Tong quan'!$B$5-1,11)</x:f>
        <x:v>46300</x:v>
      </x:c>
      <x:c r="D14" s="26" t="n">
        <x:f>WORKDAY('Tong quan'!$B$5-1,12)</x:f>
        <x:v>46301</x:v>
      </x:c>
      <x:c r="E14" s="25" t="n">
        <x:v>4</x:v>
      </x:c>
      <x:c r="F14" s="24" t="str">
        <x:v>Chuẩn bị ma trận HITL: chờ, duyệt, từ chối, hết hạn, sai vai trò, đổi tham số, thao tác lặp và hệ thống khởi động lại.</x:v>
      </x:c>
      <x:c r="G14" s="24" t="str">
        <x:v>Từng ca có điều kiện trước, thao tác, kỳ vọng và dữ liệu thử. Nội dung Approver nhìn thấy đủ để quyết định đúng hành động.</x:v>
      </x:c>
      <x:c r="H14" s="24" t="str">
        <x:v>BA06</x:v>
      </x:c>
      <x:c r="I14" s="24" t="str">
        <x:v>PM; 2 Dev</x:v>
      </x:c>
      <x:c r="J14" s="27" t="str">
        <x:v>Chưa bắt đầu</x:v>
      </x:c>
      <x:c r="K14" s="27" t="str">
        <x:v>Chưa kiểm tra</x:v>
      </x:c>
      <x:c r="L14" s="27"/>
      <x:c r="M14" s="27"/>
      <x:c r="N14" s="27"/>
      <x:c r="O14" s="28" t="str">
        <x:f>IF(J14="Hoàn thành",IF(AND(K14="Đạt",L14&lt;&gt;""),"Đã nghiệm thu","Thiếu xác nhận"),J14)</x:f>
        <x:v>Chưa bắt đầu</x:v>
      </x:c>
      <x:c r="P14" s="35" t="str">
        <x:v>Chưa có approval schema/API/UI</x:v>
      </x:c>
    </x:row>
    <x:row r="15" ht="80" customHeight="1">
      <x:c r="A15" s="18" t="str">
        <x:v>BA08</x:v>
      </x:c>
      <x:c r="B15" s="20" t="n">
        <x:v>3</x:v>
      </x:c>
      <x:c r="C15" s="21" t="n">
        <x:f>WORKDAY('Tong quan'!$B$5-1,13)</x:f>
        <x:v>46302</x:v>
      </x:c>
      <x:c r="D15" s="21" t="n">
        <x:f>WORKDAY('Tong quan'!$B$5-1,14)</x:f>
        <x:v>46303</x:v>
      </x:c>
      <x:c r="E15" s="20" t="n">
        <x:v>4</x:v>
      </x:c>
      <x:c r="F15" s="18" t="str">
        <x:v>Chạy tập phát triển phù hợp với Recon/Fuzzing. Phân loại phát hiện đúng, sai, bỏ sót và thiếu bằng chứng.</x:v>
      </x:c>
      <x:c r="G15" s="18" t="str">
        <x:v>Kết quả gắn với mã ca, phiên bản và evidence ID. Trường hợp chưa rõ chuyển dev xác minh, không tự gán là lỗ hổng thật.</x:v>
      </x:c>
      <x:c r="H15" s="18" t="str">
        <x:v>BA07, D107</x:v>
      </x:c>
      <x:c r="I15" s="18" t="str">
        <x:v>Dev1; PM</x:v>
      </x:c>
      <x:c r="J15" s="22" t="str">
        <x:v>Chưa bắt đầu</x:v>
      </x:c>
      <x:c r="K15" s="22" t="str">
        <x:v>Chưa kiểm tra</x:v>
      </x:c>
      <x:c r="L15" s="22"/>
      <x:c r="M15" s="22"/>
      <x:c r="N15" s="22"/>
      <x:c r="O15" s="23" t="str">
        <x:f>IF(J15="Hoàn thành",IF(AND(K15="Đạt",L15&lt;&gt;""),"Đã nghiệm thu","Thiếu xác nhận"),J15)</x:f>
        <x:v>Chưa bắt đầu</x:v>
      </x:c>
      <x:c r="P15" s="35" t="str">
        <x:v>Chưa có Recon/Fuzzing trong src/agents/</x:v>
      </x:c>
    </x:row>
    <x:row r="16" ht="80" customHeight="1">
      <x:c r="A16" s="18" t="str">
        <x:v>BA09</x:v>
      </x:c>
      <x:c r="B16" s="20" t="n">
        <x:v>3</x:v>
      </x:c>
      <x:c r="C16" s="21" t="n">
        <x:f>WORKDAY('Tong quan'!$B$5-1,15)</x:f>
        <x:v>46304</x:v>
      </x:c>
      <x:c r="D16" s="21" t="n">
        <x:f>WORKDAY('Tong quan'!$B$5-1,15)</x:f>
        <x:v>46304</x:v>
      </x:c>
      <x:c r="E16" s="20" t="n">
        <x:v>5</x:v>
      </x:c>
      <x:c r="F16" s="18" t="str">
        <x:v>Kiểm thử HITL xuyên suốt với hai tài khoản và kênh đã chọn. Kiểm tra dừng khi thông báo hoặc phê duyệt lỗi.</x:v>
      </x:c>
      <x:c r="G16" s="18" t="str">
        <x:v>Có bằng chứng cho các nhánh của G2. Hệ thống không thực thi khi không có phê duyệt hợp lệ; không thực thi hai lần vì thao tác lặp.</x:v>
      </x:c>
      <x:c r="H16" s="18" t="str">
        <x:v>BA08, D108, D208</x:v>
      </x:c>
      <x:c r="I16" s="18" t="str">
        <x:v>PM; 2 Dev</x:v>
      </x:c>
      <x:c r="J16" s="22" t="str">
        <x:v>Chưa bắt đầu</x:v>
      </x:c>
      <x:c r="K16" s="22" t="str">
        <x:v>Chưa kiểm tra</x:v>
      </x:c>
      <x:c r="L16" s="22"/>
      <x:c r="M16" s="22"/>
      <x:c r="N16" s="22"/>
      <x:c r="O16" s="23" t="str">
        <x:f>IF(J16="Hoàn thành",IF(AND(K16="Đạt",L16&lt;&gt;""),"Đã nghiệm thu","Thiếu xác nhận"),J16)</x:f>
        <x:v>Chưa bắt đầu</x:v>
      </x:c>
      <x:c r="P16" s="35" t="str">
        <x:v>Ảnh VSOC-04; tích hợp cần làm mới</x:v>
      </x:c>
    </x:row>
    <x:row r="17" ht="80" customHeight="1">
      <x:c r="A17" s="24" t="str">
        <x:v>BA10</x:v>
      </x:c>
      <x:c r="B17" s="25" t="n">
        <x:v>4</x:v>
      </x:c>
      <x:c r="C17" s="26" t="n">
        <x:f>WORKDAY('Tong quan'!$B$5-1,16)</x:f>
        <x:v>46307</x:v>
      </x:c>
      <x:c r="D17" s="26" t="n">
        <x:f>WORKDAY('Tong quan'!$B$5-1,17)</x:f>
        <x:v>46308</x:v>
      </x:c>
      <x:c r="E17" s="25" t="n">
        <x:v>4</x:v>
      </x:c>
      <x:c r="F17" s="24" t="str">
        <x:v>Chốt mẫu báo cáo thực tế: mục tiêu, phạm vi, finding, evidence, ảnh hưởng và mức xác minh. Đối chiếu từng nội dung với trường dữ liệu backend.</x:v>
      </x:c>
      <x:c r="G17" s="24" t="str">
        <x:v>Mẫu gắn được evidence ID; không dùng trường analysis của chatbot để thay cho bằng chứng. Kết luận thiếu căn cứ phải ghi chưa xác minh.</x:v>
      </x:c>
      <x:c r="H17" s="24" t="str">
        <x:v>BA09</x:v>
      </x:c>
      <x:c r="I17" s="24" t="str">
        <x:v>PM; Dev1</x:v>
      </x:c>
      <x:c r="J17" s="27" t="str">
        <x:v>Chưa bắt đầu</x:v>
      </x:c>
      <x:c r="K17" s="27" t="str">
        <x:v>Chưa kiểm tra</x:v>
      </x:c>
      <x:c r="L17" s="27"/>
      <x:c r="M17" s="27"/>
      <x:c r="N17" s="27"/>
      <x:c r="O17" s="28" t="str">
        <x:f>IF(J17="Hoàn thành",IF(AND(K17="Đạt",L17&lt;&gt;""),"Đã nghiệm thu","Thiếu xác nhận"),J17)</x:f>
        <x:v>Chưa bắt đầu</x:v>
      </x:c>
      <x:c r="P17" s="35" t="str">
        <x:v>src/models/schemas.py hiện là chat/analysis</x:v>
      </x:c>
    </x:row>
    <x:row r="18" ht="80" customHeight="1">
      <x:c r="A18" s="18" t="str">
        <x:v>BA11</x:v>
      </x:c>
      <x:c r="B18" s="20" t="n">
        <x:v>4</x:v>
      </x:c>
      <x:c r="C18" s="21" t="n">
        <x:f>WORKDAY('Tong quan'!$B$5-1,18)</x:f>
        <x:v>46309</x:v>
      </x:c>
      <x:c r="D18" s="21" t="n">
        <x:f>WORKDAY('Tong quan'!$B$5-1,19)</x:f>
        <x:v>46310</x:v>
      </x:c>
      <x:c r="E18" s="20" t="n">
        <x:v>5</x:v>
      </x:c>
      <x:c r="F18" s="18" t="str">
        <x:v>Chạy kiểm thử hệ thống: lỗi agent/tool, dừng đợt, dữ liệu độc hại, vượt phạm vi, báo cáo rỗng hoặc thiếu một phần.</x:v>
      </x:c>
      <x:c r="G18" s="18" t="str">
        <x:v>Test log tách lỗi ứng dụng với lỗi chất lượng AI. Báo cáo giữ kết quả đã có và ghi bước chưa hoàn thành.</x:v>
      </x:c>
      <x:c r="H18" s="18" t="str">
        <x:v>BA10, D110, D210</x:v>
      </x:c>
      <x:c r="I18" s="18" t="str">
        <x:v>2 Dev; PM</x:v>
      </x:c>
      <x:c r="J18" s="22" t="str">
        <x:v>Chưa bắt đầu</x:v>
      </x:c>
      <x:c r="K18" s="22" t="str">
        <x:v>Chưa kiểm tra</x:v>
      </x:c>
      <x:c r="L18" s="22"/>
      <x:c r="M18" s="22"/>
      <x:c r="N18" s="22"/>
      <x:c r="O18" s="23" t="str">
        <x:f>IF(J18="Hoàn thành",IF(AND(K18="Đạt",L18&lt;&gt;""),"Đã nghiệm thu","Thiếu xác nhận"),J18)</x:f>
        <x:v>Chưa bắt đầu</x:v>
      </x:c>
      <x:c r="P18" s="35" t="str">
        <x:v>src/api/routes.py:19 trả lỗi thô</x:v>
      </x:c>
    </x:row>
    <x:row r="19" ht="80" customHeight="1">
      <x:c r="A19" s="18" t="str">
        <x:v>BA12</x:v>
      </x:c>
      <x:c r="B19" s="20" t="n">
        <x:v>4</x:v>
      </x:c>
      <x:c r="C19" s="21" t="n">
        <x:f>WORKDAY('Tong quan'!$B$5-1,20)</x:f>
        <x:v>46311</x:v>
      </x:c>
      <x:c r="D19" s="21" t="n">
        <x:f>WORKDAY('Tong quan'!$B$5-1,20)</x:f>
        <x:v>46311</x:v>
      </x:c>
      <x:c r="E19" s="20" t="n">
        <x:v>4</x:v>
      </x:c>
      <x:c r="F19" s="18" t="str">
        <x:v>Thay nội dung mẫu trong eval/results/report.md bằng kết quả 16 ca phát triển, độ trễ/chi phí, lỗi và cải tiến. Chốt cách tính trước holdout.</x:v>
      </x:c>
      <x:c r="G19" s="18" t="str">
        <x:v>Không coi 5 test khung đạt là chất lượng pentest. Ghi mẫu số và phiên bản; PM chốt ngưỡng thực tế trước đánh giá giữ riêng.</x:v>
      </x:c>
      <x:c r="H19" s="18" t="str">
        <x:v>BA11</x:v>
      </x:c>
      <x:c r="I19" s="18" t="str">
        <x:v>PM; Dev1</x:v>
      </x:c>
      <x:c r="J19" s="22" t="str">
        <x:v>Chưa bắt đầu</x:v>
      </x:c>
      <x:c r="K19" s="22" t="str">
        <x:v>Chưa kiểm tra</x:v>
      </x:c>
      <x:c r="L19" s="22"/>
      <x:c r="M19" s="22"/>
      <x:c r="N19" s="22"/>
      <x:c r="O19" s="23" t="str">
        <x:f>IF(J19="Hoàn thành",IF(AND(K19="Đạt",L19&lt;&gt;""),"Đã nghiệm thu","Thiếu xác nhận"),J19)</x:f>
        <x:v>Chưa bắt đầu</x:v>
      </x:c>
      <x:c r="P19" s="35" t="str">
        <x:v>eval/results/report.md có target mẫu, Actual trống</x:v>
      </x:c>
    </x:row>
    <x:row r="20" ht="80" customHeight="1">
      <x:c r="A20" s="24" t="str">
        <x:v>BA13</x:v>
      </x:c>
      <x:c r="B20" s="25" t="n">
        <x:v>5</x:v>
      </x:c>
      <x:c r="C20" s="26" t="n">
        <x:f>WORKDAY('Tong quan'!$B$5-1,21)</x:f>
        <x:v>46314</x:v>
      </x:c>
      <x:c r="D20" s="26" t="n">
        <x:f>WORKDAY('Tong quan'!$B$5-1,22)</x:f>
        <x:v>46315</x:v>
      </x:c>
      <x:c r="E20" s="25" t="n">
        <x:v>5</x:v>
      </x:c>
      <x:c r="F20" s="24" t="str">
        <x:v>Đánh giá 8 ca giữ riêng trên phiên bản đã ghi nhận. So đáp án và phân tích sai. Duy trì bộ ca riêng để sửa lỗi nếu cần.</x:v>
      </x:c>
      <x:c r="G20" s="24" t="str">
        <x:v>Lưu từng lần chạy. Nếu dùng holdout để chỉnh hệ thống, công bố tập đã được dùng và giới hạn đánh giá; không gọi đó là đánh giá độc lập mới.</x:v>
      </x:c>
      <x:c r="H20" s="24" t="str">
        <x:v>BA12, PM12</x:v>
      </x:c>
      <x:c r="I20" s="24" t="str">
        <x:v>PM; Dev1</x:v>
      </x:c>
      <x:c r="J20" s="27" t="str">
        <x:v>Chưa bắt đầu</x:v>
      </x:c>
      <x:c r="K20" s="27" t="str">
        <x:v>Chưa kiểm tra</x:v>
      </x:c>
      <x:c r="L20" s="27"/>
      <x:c r="M20" s="27"/>
      <x:c r="N20" s="27"/>
      <x:c r="O20" s="28" t="str">
        <x:f>IF(J20="Hoàn thành",IF(AND(K20="Đạt",L20&lt;&gt;""),"Đã nghiệm thu","Thiếu xác nhận"),J20)</x:f>
        <x:v>Chưa bắt đầu</x:v>
      </x:c>
      <x:c r="P20" s="35" t="str">
        <x:v>Dataset/runner sẽ được tạo tại BA04/D112</x:v>
      </x:c>
    </x:row>
    <x:row r="21" ht="80" customHeight="1">
      <x:c r="A21" s="18" t="str">
        <x:v>BA14</x:v>
      </x:c>
      <x:c r="B21" s="20" t="n">
        <x:v>5</x:v>
      </x:c>
      <x:c r="C21" s="21" t="n">
        <x:f>WORKDAY('Tong quan'!$B$5-1,23)</x:f>
        <x:v>46316</x:v>
      </x:c>
      <x:c r="D21" s="21" t="n">
        <x:f>WORKDAY('Tong quan'!$B$5-1,24)</x:f>
        <x:v>46317</x:v>
      </x:c>
      <x:c r="E21" s="20" t="n">
        <x:v>4</x:v>
      </x:c>
      <x:c r="F21" s="18" t="str">
        <x:v>Điều phối UAT với PM làm Operator. BA làm Approver; chạy luồng chính, thay thế và lỗi theo checklist.</x:v>
      </x:c>
      <x:c r="G21" s="18" t="str">
        <x:v>Mỗi Must có người xác nhận và bằng chứng. Dev giải thích vấn đề kỹ thuật; BA xác nhận hành vi nghiệp vụ thay vì tự duyệt mã nguồn.</x:v>
      </x:c>
      <x:c r="H21" s="18" t="str">
        <x:v>BA13</x:v>
      </x:c>
      <x:c r="I21" s="18" t="str">
        <x:v>PM; 2 Dev</x:v>
      </x:c>
      <x:c r="J21" s="22" t="str">
        <x:v>Chưa bắt đầu</x:v>
      </x:c>
      <x:c r="K21" s="22" t="str">
        <x:v>Chưa kiểm tra</x:v>
      </x:c>
      <x:c r="L21" s="22"/>
      <x:c r="M21" s="22"/>
      <x:c r="N21" s="22"/>
      <x:c r="O21" s="23" t="str">
        <x:f>IF(J21="Hoàn thành",IF(AND(K21="Đạt",L21&lt;&gt;""),"Đã nghiệm thu","Thiếu xác nhận"),J21)</x:f>
        <x:v>Chưa bắt đầu</x:v>
      </x:c>
      <x:c r="P21" s="35" t="str">
        <x:v>tests/ chưa bao phủ luồng sản phẩm</x:v>
      </x:c>
    </x:row>
    <x:row r="22" ht="80" customHeight="1">
      <x:c r="A22" s="18" t="str">
        <x:v>BA15</x:v>
      </x:c>
      <x:c r="B22" s="20" t="n">
        <x:v>5</x:v>
      </x:c>
      <x:c r="C22" s="21" t="n">
        <x:f>WORKDAY('Tong quan'!$B$5-1,25)</x:f>
        <x:v>46318</x:v>
      </x:c>
      <x:c r="D22" s="21" t="n">
        <x:f>WORKDAY('Tong quan'!$B$5-1,25)</x:f>
        <x:v>46318</x:v>
      </x:c>
      <x:c r="E22" s="20" t="n">
        <x:v>4</x:v>
      </x:c>
      <x:c r="F22" s="18" t="str">
        <x:v>Kiểm thử hồi quy các lỗi đã sửa. Hoàn thiện ma trận yêu cầu → test → kết quả → bằng chứng.</x:v>
      </x:c>
      <x:c r="G22" s="18" t="str">
        <x:v>G4 có danh sách lỗi còn mở và kết luận đạt/chưa đạt. Không để ô chưa chạy nhưng ghi đạt.</x:v>
      </x:c>
      <x:c r="H22" s="18" t="str">
        <x:v>BA14</x:v>
      </x:c>
      <x:c r="I22" s="18" t="str">
        <x:v>PM</x:v>
      </x:c>
      <x:c r="J22" s="22" t="str">
        <x:v>Chưa bắt đầu</x:v>
      </x:c>
      <x:c r="K22" s="22" t="str">
        <x:v>Chưa kiểm tra</x:v>
      </x:c>
      <x:c r="L22" s="22"/>
      <x:c r="M22" s="22"/>
      <x:c r="N22" s="22"/>
      <x:c r="O22" s="23" t="str">
        <x:f>IF(J22="Hoàn thành",IF(AND(K22="Đạt",L22&lt;&gt;""),"Đã nghiệm thu","Thiếu xác nhận"),J22)</x:f>
        <x:v>Chưa bắt đầu</x:v>
      </x:c>
      <x:c r="P22" s="35" t="str">
        <x:v>Bổ sung kết quả vào eval/results/report.md</x:v>
      </x:c>
    </x:row>
    <x:row r="23" ht="80" customHeight="1">
      <x:c r="A23" s="24" t="str">
        <x:v>BA16</x:v>
      </x:c>
      <x:c r="B23" s="25" t="n">
        <x:v>6</x:v>
      </x:c>
      <x:c r="C23" s="26" t="n">
        <x:f>WORKDAY('Tong quan'!$B$5-1,26)</x:f>
        <x:v>46321</x:v>
      </x:c>
      <x:c r="D23" s="26" t="n">
        <x:f>WORKDAY('Tong quan'!$B$5-1,27)</x:f>
        <x:v>46322</x:v>
      </x:c>
      <x:c r="E23" s="25" t="n">
        <x:v>4</x:v>
      </x:c>
      <x:c r="F23" s="24" t="str">
        <x:v>Viết hướng dẫn Operator/Approver theo giao diện đã chạy. Cùng PM cập nhật README, API thật, tài khoản demo và giới hạn; không sao chép nguyên boilerplate.</x:v>
      </x:c>
      <x:c r="G23" s="24" t="str">
        <x:v>Người khác làm theo được. README không liệt kê /analyze nếu chưa có API, không có checkbox hoàn thành thiếu bằng chứng.</x:v>
      </x:c>
      <x:c r="H23" s="24" t="str">
        <x:v>BA15</x:v>
      </x:c>
      <x:c r="I23" s="24" t="str">
        <x:v>PM; Dev2</x:v>
      </x:c>
      <x:c r="J23" s="27" t="str">
        <x:v>Chưa bắt đầu</x:v>
      </x:c>
      <x:c r="K23" s="27" t="str">
        <x:v>Chưa kiểm tra</x:v>
      </x:c>
      <x:c r="L23" s="27"/>
      <x:c r="M23" s="27"/>
      <x:c r="N23" s="27"/>
      <x:c r="O23" s="28" t="str">
        <x:f>IF(J23="Hoàn thành",IF(AND(K23="Đạt",L23&lt;&gt;""),"Đã nghiệm thu","Thiếu xác nhận"),J23)</x:f>
        <x:v>Chưa bắt đầu</x:v>
      </x:c>
      <x:c r="P23" s="35" t="str">
        <x:v>README_boilerplate.md có /analyze chưa tồn tại</x:v>
      </x:c>
    </x:row>
    <x:row r="24" ht="80" customHeight="1">
      <x:c r="A24" s="18" t="str">
        <x:v>BA17</x:v>
      </x:c>
      <x:c r="B24" s="20" t="n">
        <x:v>6</x:v>
      </x:c>
      <x:c r="C24" s="21" t="n">
        <x:f>WORKDAY('Tong quan'!$B$5-1,28)</x:f>
        <x:v>46323</x:v>
      </x:c>
      <x:c r="D24" s="21" t="n">
        <x:f>WORKDAY('Tong quan'!$B$5-1,29)</x:f>
        <x:v>46324</x:v>
      </x:c>
      <x:c r="E24" s="20" t="n">
        <x:v>4</x:v>
      </x:c>
      <x:c r="F24" s="18" t="str">
        <x:v>Chốt kịch bản demo, eval, ma trận truy vết và danh mục hồ sơ. Rà slide/video/README/kiến trúc có cùng phiên bản sản phẩm.</x:v>
      </x:c>
      <x:c r="G24" s="18" t="str">
        <x:v>Số liệu có kết quả lưu; sơ đồ phản ánh đúng luồng đã triển khai. Nhật ký và worklog có nội dung thật thay placeholder.</x:v>
      </x:c>
      <x:c r="H24" s="18" t="str">
        <x:v>BA16</x:v>
      </x:c>
      <x:c r="I24" s="18" t="str">
        <x:v>PM; 2 Dev</x:v>
      </x:c>
      <x:c r="J24" s="22" t="str">
        <x:v>Chưa bắt đầu</x:v>
      </x:c>
      <x:c r="K24" s="22" t="str">
        <x:v>Chưa kiểm tra</x:v>
      </x:c>
      <x:c r="L24" s="22"/>
      <x:c r="M24" s="22"/>
      <x:c r="N24" s="22"/>
      <x:c r="O24" s="23" t="str">
        <x:f>IF(J24="Hoàn thành",IF(AND(K24="Đạt",L24&lt;&gt;""),"Đã nghiệm thu","Thiếu xác nhận"),J24)</x:f>
        <x:v>Chưa bắt đầu</x:v>
      </x:c>
      <x:c r="P24" s="35" t="str">
        <x:v>JOURNAL.md; WORKLOG.md; presentation/</x:v>
      </x:c>
    </x:row>
    <x:row r="25" ht="80" customHeight="1">
      <x:c r="A25" s="18" t="str">
        <x:v>BA18</x:v>
      </x:c>
      <x:c r="B25" s="20" t="n">
        <x:v>6</x:v>
      </x:c>
      <x:c r="C25" s="21" t="n">
        <x:f>WORKDAY('Tong quan'!$B$5-1,30)</x:f>
        <x:v>46325</x:v>
      </x:c>
      <x:c r="D25" s="21" t="n">
        <x:f>WORKDAY('Tong quan'!$B$5-1,30)</x:f>
        <x:v>46325</x:v>
      </x:c>
      <x:c r="E25" s="20" t="n">
        <x:v>3</x:v>
      </x:c>
      <x:c r="F25" s="18" t="str">
        <x:v>Chạy kiểm tra nhanh bản bàn giao. Kiểm tra hai vai trò, approve/reject, xuất báo cáo và quyền xem tài liệu.</x:v>
      </x:c>
      <x:c r="G25" s="18" t="str">
        <x:v>G5 có kết quả kiểm tra cuối. Tài liệu liệt kê rõ các hạn chế và ca chưa hỗ trợ.</x:v>
      </x:c>
      <x:c r="H25" s="18" t="str">
        <x:v>BA17</x:v>
      </x:c>
      <x:c r="I25" s="18" t="str">
        <x:v>PM</x:v>
      </x:c>
      <x:c r="J25" s="22" t="str">
        <x:v>Chưa bắt đầu</x:v>
      </x:c>
      <x:c r="K25" s="22" t="str">
        <x:v>Chưa kiểm tra</x:v>
      </x:c>
      <x:c r="L25" s="22"/>
      <x:c r="M25" s="22"/>
      <x:c r="N25" s="22"/>
      <x:c r="O25" s="23" t="str">
        <x:f>IF(J25="Hoàn thành",IF(AND(K25="Đạt",L25&lt;&gt;""),"Đã nghiệm thu","Thiếu xác nhận"),J25)</x:f>
        <x:v>Chưa bắt đầu</x:v>
      </x:c>
      <x:c r="P25" s="35" t="str">
        <x:v>URL chưa có trong hồ sơ hiện tại</x:v>
      </x:c>
    </x:row>
  </x:sheetData>
  <x:conditionalFormatting sqref="O8:O25">
    <x:cfRule type="containsText" dxfId="4" priority="1" operator="containsText" text="Thiếu xác nhận"/>
  </x:conditionalFormatting>
  <x:conditionalFormatting sqref="J8:J25">
    <x:cfRule type="containsText" dxfId="5" priority="2" operator="containsText" text="Bị chặn"/>
  </x:conditionalFormatting>
  <x:conditionalFormatting sqref="D8:D25">
    <x:cfRule type="expression" dxfId="6"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95e4cd4fe9c64746"/>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 min="16" max="16" width="42.5" hidden="0" customWidth="1"/>
  </x:cols>
  <x:sheetData>
    <x:row r="1" ht="24" customHeight="1">
      <x:c r="A1" s="2"/>
      <x:c r="B1" s="2"/>
      <x:c r="C1" s="2"/>
      <x:c r="D1" s="2"/>
      <x:c r="E1" s="2"/>
      <x:c r="F1" s="2"/>
      <x:c r="G1" s="2"/>
      <x:c r="H1" s="2"/>
      <x:c r="I1" s="2"/>
      <x:c r="J1" s="2"/>
      <x:c r="K1" s="2"/>
      <x:c r="L1" s="2"/>
      <x:c r="M1" s="2"/>
      <x:c r="N1" s="2"/>
      <x:c r="O1" s="2"/>
      <x:c r="P1" s="1"/>
    </x:row>
    <x:row r="2" ht="24" customHeight="1">
      <x:c r="A2" s="3" t="str">
        <x:v>Dev1 | Agent, công cụ, kiểm thử lõi</x:v>
      </x:c>
      <x:c r="B2" s="2"/>
      <x:c r="C2" s="2"/>
      <x:c r="D2" s="2"/>
      <x:c r="E2" s="2"/>
      <x:c r="F2" s="2"/>
      <x:c r="G2" s="2"/>
      <x:c r="H2" s="2"/>
      <x:c r="I2" s="2"/>
      <x:c r="J2" s="2"/>
      <x:c r="K2" s="2"/>
      <x:c r="L2" s="2"/>
      <x:c r="M2" s="2"/>
      <x:c r="N2" s="2"/>
      <x:c r="O2" s="2"/>
      <x:c r="P2" s="1"/>
    </x:row>
    <x:row r="3" ht="24" customHeight="1">
      <x:c r="A3" s="4"/>
      <x:c r="B3" s="4"/>
      <x:c r="C3" s="4"/>
      <x:c r="D3" s="4"/>
      <x:c r="E3" s="4"/>
      <x:c r="F3" s="4"/>
      <x:c r="G3" s="4"/>
      <x:c r="H3" s="4"/>
      <x:c r="I3" s="4"/>
      <x:c r="J3" s="4"/>
      <x:c r="K3" s="4"/>
      <x:c r="L3" s="4"/>
      <x:c r="M3" s="4"/>
      <x:c r="N3" s="4"/>
      <x:c r="O3" s="4"/>
      <x:c r="P3" s="1"/>
    </x:row>
    <x:row r="4" ht="24" customHeight="1">
      <x:c r="A4" s="2" t="str">
        <x:v>Đối chiếu P-077 ngày 18/09/2026. Deadline riêng ở cột D; cơ sở hiện trạng ở cột P. Lịch chưa được nhóm xác nhận.</x:v>
      </x:c>
      <x:c r="B4" s="2"/>
      <x:c r="C4" s="2"/>
      <x:c r="D4" s="2"/>
      <x:c r="E4" s="2"/>
      <x:c r="F4" s="2"/>
      <x:c r="G4" s="2"/>
      <x:c r="H4" s="2"/>
      <x:c r="I4" s="2"/>
      <x:c r="J4" s="2"/>
      <x:c r="K4" s="2"/>
      <x:c r="L4" s="2"/>
      <x:c r="M4" s="2"/>
      <x:c r="N4" s="2"/>
      <x:c r="O4" s="2"/>
      <x:c r="P4" s="1"/>
    </x:row>
    <x:row r="5" ht="24" customHeight="1">
      <x:c r="A5" s="2" t="str">
        <x:v>Ô vàng để cập nhật. Hoàn thành cần người kiểm tra chọn Đạt và bằng chứng. Kết quả audit không tự đánh dấu task tương lai là xong.</x:v>
      </x:c>
      <x:c r="B5" s="2"/>
      <x:c r="C5" s="2"/>
      <x:c r="D5" s="2"/>
      <x:c r="E5" s="2"/>
      <x:c r="F5" s="2"/>
      <x:c r="G5" s="2"/>
      <x:c r="H5" s="2"/>
      <x:c r="I5" s="2"/>
      <x:c r="J5" s="2"/>
      <x:c r="K5" s="2"/>
      <x:c r="L5" s="2"/>
      <x:c r="M5" s="2"/>
      <x:c r="N5" s="2"/>
      <x:c r="O5" s="2"/>
      <x:c r="P5" s="1"/>
    </x:row>
    <x:row r="6" ht="24" customHeight="1">
      <x:c r="A6" s="2"/>
      <x:c r="B6" s="2"/>
      <x:c r="C6" s="2"/>
      <x:c r="D6" s="2"/>
      <x:c r="E6" s="2"/>
      <x:c r="F6" s="2"/>
      <x:c r="G6" s="2"/>
      <x:c r="H6" s="2"/>
      <x:c r="I6" s="2"/>
      <x:c r="J6" s="2"/>
      <x:c r="K6" s="2"/>
      <x:c r="L6" s="2"/>
      <x:c r="M6" s="2"/>
      <x:c r="N6" s="2"/>
      <x:c r="O6" s="2"/>
      <x:c r="P6" s="1"/>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c r="P7" s="33" t="str">
        <x:v>Cơ sở từ P-077 / nơi cần bổ sung</x:v>
      </x:c>
    </x:row>
    <x:row r="8" ht="80" customHeight="1">
      <x:c r="A8" s="24" t="str">
        <x:v>D101</x:v>
      </x:c>
      <x:c r="B8" s="25" t="n">
        <x:v>1</x:v>
      </x:c>
      <x:c r="C8" s="26" t="n">
        <x:f>WORKDAY('Tong quan'!$B$5-1,1)</x:f>
        <x:v>46286</x:v>
      </x:c>
      <x:c r="D8" s="26" t="n">
        <x:f>WORKDAY('Tong quan'!$B$5-1,2)</x:f>
        <x:v>46287</x:v>
      </x:c>
      <x:c r="E8" s="25" t="n">
        <x:v>4</x:v>
      </x:c>
      <x:c r="F8" s="24" t="str">
        <x:v>Giữ nền FastAPI/LangGraph đã chạy và sửa đổi openai_base_url của nhóm. Nối get_llm vào một node thử với đầu ra có cấu trúc; không ghép chuỗi như mẫu.</x:v>
      </x:c>
      <x:c r="G8" s="24" t="str">
        <x:v>5 test nền vẫn đạt. Có test giả lập thành công/lỗi của LLM và một lượt thử thật có ngân sách khi có cấu hình; ghi rõ nếu lượt thật chưa thực hiện.</x:v>
      </x:c>
      <x:c r="H8" s="24" t="str">
        <x:v>PM01</x:v>
      </x:c>
      <x:c r="I8" s="24" t="str">
        <x:v>Dev2</x:v>
      </x:c>
      <x:c r="J8" s="27" t="str">
        <x:v>Chưa bắt đầu</x:v>
      </x:c>
      <x:c r="K8" s="27" t="str">
        <x:v>Chưa kiểm tra</x:v>
      </x:c>
      <x:c r="L8" s="27"/>
      <x:c r="M8" s="27"/>
      <x:c r="N8" s="27"/>
      <x:c r="O8" s="28" t="str">
        <x:f>IF(J8="Hoàn thành",IF(AND(K8="Đạt",L8&lt;&gt;""),"Đã nghiệm thu","Thiếu xác nhận"),J8)</x:f>
        <x:v>Chưa bắt đầu</x:v>
      </x:c>
      <x:c r="P8" s="35" t="str">
        <x:v>src/services/llm.py; src/config.py; nodes/example_node.py</x:v>
      </x:c>
    </x:row>
    <x:row r="9" ht="80" customHeight="1">
      <x:c r="A9" s="18" t="str">
        <x:v>D102</x:v>
      </x:c>
      <x:c r="B9" s="20" t="n">
        <x:v>1</x:v>
      </x:c>
      <x:c r="C9" s="21" t="n">
        <x:f>WORKDAY('Tong quan'!$B$5-1,3)</x:f>
        <x:v>46288</x:v>
      </x:c>
      <x:c r="D9" s="21" t="n">
        <x:f>WORKDAY('Tong quan'!$B$5-1,4)</x:f>
        <x:v>46289</x:v>
      </x:c>
      <x:c r="E9" s="20" t="n">
        <x:v>5</x:v>
      </x:c>
      <x:c r="F9" s="18" t="str">
        <x:v>Mở rộng graph.py/state.py từ analyze/respond thành Supervisor/Recon/Fuzzing/Exploit. Thống nhất schema run, step, finding, evidence và approval với Dev2.</x:v>
      </x:c>
      <x:c r="G9" s="18" t="str">
        <x:v>API dùng chung, trạng thái và dữ liệu có kiểu rõ. BA duyệt nghĩa nghiệp vụ. Kết quả mô phỏng phải được gắn nhãn riêng.</x:v>
      </x:c>
      <x:c r="H9" s="18" t="str">
        <x:v>D101, BA01</x:v>
      </x:c>
      <x:c r="I9" s="18" t="str">
        <x:v>Dev2; BA</x:v>
      </x:c>
      <x:c r="J9" s="22" t="str">
        <x:v>Chưa bắt đầu</x:v>
      </x:c>
      <x:c r="K9" s="22" t="str">
        <x:v>Chưa kiểm tra</x:v>
      </x:c>
      <x:c r="L9" s="22"/>
      <x:c r="M9" s="22"/>
      <x:c r="N9" s="22"/>
      <x:c r="O9" s="23" t="str">
        <x:f>IF(J9="Hoàn thành",IF(AND(K9="Đạt",L9&lt;&gt;""),"Đã nghiệm thu","Thiếu xác nhận"),J9)</x:f>
        <x:v>Chưa bắt đầu</x:v>
      </x:c>
      <x:c r="P9" s="35" t="str">
        <x:v>src/agents/graph.py; state.py; models/schemas.py</x:v>
      </x:c>
    </x:row>
    <x:row r="10" ht="80" customHeight="1">
      <x:c r="A10" s="18" t="str">
        <x:v>D103</x:v>
      </x:c>
      <x:c r="B10" s="20" t="n">
        <x:v>1</x:v>
      </x:c>
      <x:c r="C10" s="21" t="n">
        <x:f>WORKDAY('Tong quan'!$B$5-1,5)</x:f>
        <x:v>46290</x:v>
      </x:c>
      <x:c r="D10" s="21" t="n">
        <x:f>WORKDAY('Tong quan'!$B$5-1,5)</x:f>
        <x:v>46290</x:v>
      </x:c>
      <x:c r="E10" s="20" t="n">
        <x:v>4</x:v>
      </x:c>
      <x:c r="F10" s="18" t="str">
        <x:v>Lắp luồng 4 agent mô phỏng có một tool vô hại và trace. Bổ sung kiểm thử thứ tự, dữ liệu ra và lỗi thay vì chỉ kiểm tra có response.</x:v>
      </x:c>
      <x:c r="G10" s="18" t="str">
        <x:v>Dev2 chạy lại được G0. Có tool-call thật trên dữ liệu mô phỏng, không nhận công cụ chưa gắn vào graph là đã hoàn thành.</x:v>
      </x:c>
      <x:c r="H10" s="18" t="str">
        <x:v>D102</x:v>
      </x:c>
      <x:c r="I10" s="18" t="str">
        <x:v>Dev2</x:v>
      </x:c>
      <x:c r="J10" s="22" t="str">
        <x:v>Chưa bắt đầu</x:v>
      </x:c>
      <x:c r="K10" s="22" t="str">
        <x:v>Chưa kiểm tra</x:v>
      </x:c>
      <x:c r="L10" s="22"/>
      <x:c r="M10" s="22"/>
      <x:c r="N10" s="22"/>
      <x:c r="O10" s="23" t="str">
        <x:f>IF(J10="Hoàn thành",IF(AND(K10="Đạt",L10&lt;&gt;""),"Đã nghiệm thu","Thiếu xác nhận"),J10)</x:f>
        <x:v>Chưa bắt đầu</x:v>
      </x:c>
      <x:c r="P10" s="35" t="str">
        <x:v>graph.py chỉ có analyze/respond; tools chưa gắn graph</x:v>
      </x:c>
    </x:row>
    <x:row r="11" ht="80" customHeight="1">
      <x:c r="A11" s="24" t="str">
        <x:v>D104</x:v>
      </x:c>
      <x:c r="B11" s="25" t="n">
        <x:v>2</x:v>
      </x:c>
      <x:c r="C11" s="26" t="n">
        <x:f>WORKDAY('Tong quan'!$B$5-1,6)</x:f>
        <x:v>46293</x:v>
      </x:c>
      <x:c r="D11" s="26" t="n">
        <x:f>WORKDAY('Tong quan'!$B$5-1,7)</x:f>
        <x:v>46294</x:v>
      </x:c>
      <x:c r="E11" s="25" t="n">
        <x:v>5</x:v>
      </x:c>
      <x:c r="F11" s="24" t="str">
        <x:v>Làm Supervisor có lưu trạng thái/checkpoint vào kho dữ liệu đã chốt; tiếp tục run theo trạng thái. Tách quyền công cụ và giới hạn số bước/thời gian.</x:v>
      </x:c>
      <x:c r="G11" s="24" t="str">
        <x:v>Không dùng graph.compile() mặc định như bằng chứng lưu bền. Có test phục hồi và từ chối công cụ ngoài quyền, dùng dữ liệu D204 bàn giao.</x:v>
      </x:c>
      <x:c r="H11" s="24" t="str">
        <x:v>D103</x:v>
      </x:c>
      <x:c r="I11" s="24" t="str">
        <x:v>Dev2</x:v>
      </x:c>
      <x:c r="J11" s="27" t="str">
        <x:v>Chưa bắt đầu</x:v>
      </x:c>
      <x:c r="K11" s="27" t="str">
        <x:v>Chưa kiểm tra</x:v>
      </x:c>
      <x:c r="L11" s="27"/>
      <x:c r="M11" s="27"/>
      <x:c r="N11" s="27"/>
      <x:c r="O11" s="28" t="str">
        <x:f>IF(J11="Hoàn thành",IF(AND(K11="Đạt",L11&lt;&gt;""),"Đã nghiệm thu","Thiếu xác nhận"),J11)</x:f>
        <x:v>Chưa bắt đầu</x:v>
      </x:c>
      <x:c r="P11" s="35" t="str">
        <x:v>graph.py:26 compile không có lưu bền; D202/D204</x:v>
      </x:c>
    </x:row>
    <x:row r="12" ht="80" customHeight="1">
      <x:c r="A12" s="18" t="str">
        <x:v>D105</x:v>
      </x:c>
      <x:c r="B12" s="20" t="n">
        <x:v>2</x:v>
      </x:c>
      <x:c r="C12" s="21" t="n">
        <x:f>WORKDAY('Tong quan'!$B$5-1,8)</x:f>
        <x:v>46295</x:v>
      </x:c>
      <x:c r="D12" s="21" t="n">
        <x:f>WORKDAY('Tong quan'!$B$5-1,9)</x:f>
        <x:v>46296</x:v>
      </x:c>
      <x:c r="E12" s="20" t="n">
        <x:v>5</x:v>
      </x:c>
      <x:c r="F12" s="18" t="str">
        <x:v>Thay công cụ ví dụ bằng Recon chỉ đọc trên lab D201. Lưu mục tiêu, điểm khảo sát, thời gian và evidence ID; chặn đường ra ngoài phạm vi.</x:v>
      </x:c>
      <x:c r="G12" s="18" t="str">
        <x:v>Kết quả do công cụ trên lab tạo ra, có thể đối chiếu. Chặn URL/redirect ngoài phạm vi trước khi gửi yêu cầu; graph thực sự gọi Recon tool.</x:v>
      </x:c>
      <x:c r="H12" s="18" t="str">
        <x:v>D104, D204</x:v>
      </x:c>
      <x:c r="I12" s="18" t="str">
        <x:v>Dev2; BA</x:v>
      </x:c>
      <x:c r="J12" s="22" t="str">
        <x:v>Chưa bắt đầu</x:v>
      </x:c>
      <x:c r="K12" s="22" t="str">
        <x:v>Chưa kiểm tra</x:v>
      </x:c>
      <x:c r="L12" s="22"/>
      <x:c r="M12" s="22"/>
      <x:c r="N12" s="22"/>
      <x:c r="O12" s="23" t="str">
        <x:f>IF(J12="Hoàn thành",IF(AND(K12="Đạt",L12&lt;&gt;""),"Đã nghiệm thu","Thiếu xác nhận"),J12)</x:f>
        <x:v>Chưa bắt đầu</x:v>
      </x:c>
      <x:c r="P12" s="35" t="str">
        <x:v>src/agents/tools/example_tool.py; lab cần tạo D201</x:v>
      </x:c>
    </x:row>
    <x:row r="13" ht="80" customHeight="1">
      <x:c r="A13" s="18" t="str">
        <x:v>D106</x:v>
      </x:c>
      <x:c r="B13" s="20" t="n">
        <x:v>2</x:v>
      </x:c>
      <x:c r="C13" s="21" t="n">
        <x:f>WORKDAY('Tong quan'!$B$5-1,10)</x:f>
        <x:v>46297</x:v>
      </x:c>
      <x:c r="D13" s="21" t="n">
        <x:f>WORKDAY('Tong quan'!$B$5-1,10)</x:f>
        <x:v>46297</x:v>
      </x:c>
      <x:c r="E13" s="20" t="n">
        <x:v>3</x:v>
      </x:c>
      <x:c r="F13" s="18" t="str">
        <x:v>Tích hợp Recon với API/UI; thêm ca kiểm thử phạm vi, timeout, lỗi công cụ, bằng chứng và schema. Giữ 5 test nền và mở rộng ý nghĩa kiểm thử.</x:v>
      </x:c>
      <x:c r="G13" s="18" t="str">
        <x:v>G1 có công cụ thật, dữ liệu lưu được và test vượt phạm vi bị chặn. Chạy ruff/pytest; không dùng test chỉ kiểm tra khóa response để chứng minh tính năng.</x:v>
      </x:c>
      <x:c r="H13" s="18" t="str">
        <x:v>D105, D205</x:v>
      </x:c>
      <x:c r="I13" s="18" t="str">
        <x:v>Dev2; BA</x:v>
      </x:c>
      <x:c r="J13" s="22" t="str">
        <x:v>Chưa bắt đầu</x:v>
      </x:c>
      <x:c r="K13" s="22" t="str">
        <x:v>Chưa kiểm tra</x:v>
      </x:c>
      <x:c r="L13" s="22"/>
      <x:c r="M13" s="22"/>
      <x:c r="N13" s="22"/>
      <x:c r="O13" s="23" t="str">
        <x:f>IF(J13="Hoàn thành",IF(AND(K13="Đạt",L13&lt;&gt;""),"Đã nghiệm thu","Thiếu xác nhận"),J13)</x:f>
        <x:v>Chưa bắt đầu</x:v>
      </x:c>
      <x:c r="P13" s="35" t="str">
        <x:v>tests/test_agents/test_graph.py; tests/test_api/test_routes.py</x:v>
      </x:c>
    </x:row>
    <x:row r="14" ht="80" customHeight="1">
      <x:c r="A14" s="24" t="str">
        <x:v>D107</x:v>
      </x:c>
      <x:c r="B14" s="25" t="n">
        <x:v>3</x:v>
      </x:c>
      <x:c r="C14" s="26" t="n">
        <x:f>WORKDAY('Tong quan'!$B$5-1,11)</x:f>
        <x:v>46300</x:v>
      </x:c>
      <x:c r="D14" s="26" t="n">
        <x:f>WORKDAY('Tong quan'!$B$5-1,12)</x:f>
        <x:v>46301</x:v>
      </x:c>
      <x:c r="E14" s="25" t="n">
        <x:v>5</x:v>
      </x:c>
      <x:c r="F14" s="24" t="str">
        <x:v>Làm Fuzzing với nhóm phép thử hữu hạn đã duyệt. Giới hạn số yêu cầu và thời gian. Liên kết kết quả với điểm Recon.</x:v>
      </x:c>
      <x:c r="G14" s="24" t="str">
        <x:v>Có kết quả lặp lại được trên lab mẫu. Hành động có thể thay đổi trạng thái phải qua cùng cổng phê duyệt, kể cả từ Fuzzing.</x:v>
      </x:c>
      <x:c r="H14" s="24" t="str">
        <x:v>D106, BA04</x:v>
      </x:c>
      <x:c r="I14" s="24" t="str">
        <x:v>Dev2</x:v>
      </x:c>
      <x:c r="J14" s="27" t="str">
        <x:v>Chưa bắt đầu</x:v>
      </x:c>
      <x:c r="K14" s="27" t="str">
        <x:v>Chưa kiểm tra</x:v>
      </x:c>
      <x:c r="L14" s="27"/>
      <x:c r="M14" s="27"/>
      <x:c r="N14" s="27"/>
      <x:c r="O14" s="28" t="str">
        <x:f>IF(J14="Hoàn thành",IF(AND(K14="Đạt",L14&lt;&gt;""),"Đã nghiệm thu","Thiếu xác nhận"),J14)</x:f>
        <x:v>Chưa bắt đầu</x:v>
      </x:c>
      <x:c r="P14" s="35" t="str">
        <x:v>Chưa có Fuzzing; kế thừa cơ chế quyền công cụ D104</x:v>
      </x:c>
    </x:row>
    <x:row r="15" ht="80" customHeight="1">
      <x:c r="A15" s="18" t="str">
        <x:v>D108</x:v>
      </x:c>
      <x:c r="B15" s="20" t="n">
        <x:v>3</x:v>
      </x:c>
      <x:c r="C15" s="21" t="n">
        <x:f>WORKDAY('Tong quan'!$B$5-1,13)</x:f>
        <x:v>46302</x:v>
      </x:c>
      <x:c r="D15" s="21" t="n">
        <x:f>WORKDAY('Tong quan'!$B$5-1,14)</x:f>
        <x:v>46303</x:v>
      </x:c>
      <x:c r="E15" s="20" t="n">
        <x:v>5</x:v>
      </x:c>
      <x:c r="F15" s="18" t="str">
        <x:v>Làm Exploit đề xuất bước kiểm chứng có cấu trúc. Bảo vệ lớp gọi công cụ bằng phạm vi và phê duyệt còn hiệu lực.</x:v>
      </x:c>
      <x:c r="G15" s="18" t="str">
        <x:v>Không chạy khi thiếu/sai/hết hạn phê duyệt. Phê duyệt gắn đúng run, hành động, mục tiêu, tham số và người duyệt. Đổi tham số phải duyệt lại.</x:v>
      </x:c>
      <x:c r="H15" s="18" t="str">
        <x:v>D107, D207</x:v>
      </x:c>
      <x:c r="I15" s="18" t="str">
        <x:v>Dev2</x:v>
      </x:c>
      <x:c r="J15" s="22" t="str">
        <x:v>Chưa bắt đầu</x:v>
      </x:c>
      <x:c r="K15" s="22" t="str">
        <x:v>Chưa kiểm tra</x:v>
      </x:c>
      <x:c r="L15" s="22"/>
      <x:c r="M15" s="22"/>
      <x:c r="N15" s="22"/>
      <x:c r="O15" s="23" t="str">
        <x:f>IF(J15="Hoàn thành",IF(AND(K15="Đạt",L15&lt;&gt;""),"Đã nghiệm thu","Thiếu xác nhận"),J15)</x:f>
        <x:v>Chưa bắt đầu</x:v>
      </x:c>
      <x:c r="P15" s="35" t="str">
        <x:v>Chưa có Exploit/approval; bổ sung services và agent nodes</x:v>
      </x:c>
    </x:row>
    <x:row r="16" ht="80" customHeight="1">
      <x:c r="A16" s="18" t="str">
        <x:v>D109</x:v>
      </x:c>
      <x:c r="B16" s="20" t="n">
        <x:v>3</x:v>
      </x:c>
      <x:c r="C16" s="21" t="n">
        <x:f>WORKDAY('Tong quan'!$B$5-1,15)</x:f>
        <x:v>46304</x:v>
      </x:c>
      <x:c r="D16" s="21" t="n">
        <x:f>WORKDAY('Tong quan'!$B$5-1,15)</x:f>
        <x:v>46304</x:v>
      </x:c>
      <x:c r="E16" s="20" t="n">
        <x:v>3</x:v>
      </x:c>
      <x:c r="F16" s="18" t="str">
        <x:v>Tích hợp chờ duyệt, tiếp tục và bỏ qua. Kiểm tra sự kiện lặp, dừng đợt và khởi động lại khi đang chờ.</x:v>
      </x:c>
      <x:c r="G16" s="18" t="str">
        <x:v>Hành động chỉ thực hiện một lần. Từ chối/hết hạn không tự chuyển thành được duyệt; có test bằng chứng tại lớp thực thi.</x:v>
      </x:c>
      <x:c r="H16" s="18" t="str">
        <x:v>D108, D208</x:v>
      </x:c>
      <x:c r="I16" s="18" t="str">
        <x:v>Dev2; BA</x:v>
      </x:c>
      <x:c r="J16" s="22" t="str">
        <x:v>Chưa bắt đầu</x:v>
      </x:c>
      <x:c r="K16" s="22" t="str">
        <x:v>Chưa kiểm tra</x:v>
      </x:c>
      <x:c r="L16" s="22"/>
      <x:c r="M16" s="22"/>
      <x:c r="N16" s="22"/>
      <x:c r="O16" s="23" t="str">
        <x:f>IF(J16="Hoàn thành",IF(AND(K16="Đạt",L16&lt;&gt;""),"Đã nghiệm thu","Thiếu xác nhận"),J16)</x:f>
        <x:v>Chưa bắt đầu</x:v>
      </x:c>
      <x:c r="P16" s="35" t="str">
        <x:v>Chưa có test khôi phục/phê duyệt</x:v>
      </x:c>
    </x:row>
    <x:row r="17" ht="80" customHeight="1">
      <x:c r="A17" s="24" t="str">
        <x:v>D110</x:v>
      </x:c>
      <x:c r="B17" s="25" t="n">
        <x:v>4</x:v>
      </x:c>
      <x:c r="C17" s="26" t="n">
        <x:f>WORKDAY('Tong quan'!$B$5-1,16)</x:f>
        <x:v>46307</x:v>
      </x:c>
      <x:c r="D17" s="26" t="n">
        <x:f>WORKDAY('Tong quan'!$B$5-1,17)</x:f>
        <x:v>46308</x:v>
      </x:c>
      <x:c r="E17" s="25" t="n">
        <x:v>5</x:v>
      </x:c>
      <x:c r="F17" s="24" t="str">
        <x:v>Làm tổng hợp findings/evidence và mức xác minh. Xử lý trùng/mâu thuẫn; sinh nội dung báo cáo có nguồn, không xuất suy luận nội bộ thô.</x:v>
      </x:c>
      <x:c r="G17" s="24" t="str">
        <x:v>Mỗi kết luận đã xác minh trỏ được tới bằng chứng. Mâu thuẫn hoặc thiếu chứng cứ được ghi rõ; dữ liệu khớp hợp đồng báo cáo Dev2.</x:v>
      </x:c>
      <x:c r="H17" s="24" t="str">
        <x:v>D109, BA09</x:v>
      </x:c>
      <x:c r="I17" s="24" t="str">
        <x:v>Dev2; BA</x:v>
      </x:c>
      <x:c r="J17" s="27" t="str">
        <x:v>Chưa bắt đầu</x:v>
      </x:c>
      <x:c r="K17" s="27" t="str">
        <x:v>Chưa kiểm tra</x:v>
      </x:c>
      <x:c r="L17" s="27"/>
      <x:c r="M17" s="27"/>
      <x:c r="N17" s="27"/>
      <x:c r="O17" s="28" t="str">
        <x:f>IF(J17="Hoàn thành",IF(AND(K17="Đạt",L17&lt;&gt;""),"Đã nghiệm thu","Thiếu xác nhận"),J17)</x:f>
        <x:v>Chưa bắt đầu</x:v>
      </x:c>
      <x:c r="P17" s="35" t="str">
        <x:v>src/models/schemas.py; bổ sung findings/evidence</x:v>
      </x:c>
    </x:row>
    <x:row r="18" ht="80" customHeight="1">
      <x:c r="A18" s="18" t="str">
        <x:v>D111</x:v>
      </x:c>
      <x:c r="B18" s="20" t="n">
        <x:v>4</x:v>
      </x:c>
      <x:c r="C18" s="21" t="n">
        <x:f>WORKDAY('Tong quan'!$B$5-1,18)</x:f>
        <x:v>46309</x:v>
      </x:c>
      <x:c r="D18" s="21" t="n">
        <x:f>WORKDAY('Tong quan'!$B$5-1,19)</x:f>
        <x:v>46310</x:v>
      </x:c>
      <x:c r="E18" s="20" t="n">
        <x:v>4</x:v>
      </x:c>
      <x:c r="F18" s="18" t="str">
        <x:v>Hoàn thiện timeout, retry giới hạn và chống chỉ dẫn độc hại từ mục tiêu. Giữ bằng chứng khi một agent thất bại.</x:v>
      </x:c>
      <x:c r="G18" s="18" t="str">
        <x:v>Nội dung mục tiêu không thay đổi quyền/công cụ. Retry không lặp lại hành động rủi ro đã thực thi; báo cáo ghi bước thiếu.</x:v>
      </x:c>
      <x:c r="H18" s="18" t="str">
        <x:v>D110</x:v>
      </x:c>
      <x:c r="I18" s="18" t="str">
        <x:v>Dev2</x:v>
      </x:c>
      <x:c r="J18" s="22" t="str">
        <x:v>Chưa bắt đầu</x:v>
      </x:c>
      <x:c r="K18" s="22" t="str">
        <x:v>Chưa kiểm tra</x:v>
      </x:c>
      <x:c r="L18" s="22"/>
      <x:c r="M18" s="22"/>
      <x:c r="N18" s="22"/>
      <x:c r="O18" s="23" t="str">
        <x:f>IF(J18="Hoàn thành",IF(AND(K18="Đạt",L18&lt;&gt;""),"Đã nghiệm thu","Thiếu xác nhận"),J18)</x:f>
        <x:v>Chưa bắt đầu</x:v>
      </x:c>
      <x:c r="P18" s="35" t="str">
        <x:v>example_node.py; graph.py; bổ sung test lỗi</x:v>
      </x:c>
    </x:row>
    <x:row r="19" ht="80" customHeight="1">
      <x:c r="A19" s="18" t="str">
        <x:v>D112</x:v>
      </x:c>
      <x:c r="B19" s="20" t="n">
        <x:v>4</x:v>
      </x:c>
      <x:c r="C19" s="21" t="n">
        <x:f>WORKDAY('Tong quan'!$B$5-1,20)</x:f>
        <x:v>46311</x:v>
      </x:c>
      <x:c r="D19" s="21" t="n">
        <x:f>WORKDAY('Tong quan'!$B$5-1,20)</x:f>
        <x:v>46311</x:v>
      </x:c>
      <x:c r="E19" s="20" t="n">
        <x:v>4</x:v>
      </x:c>
      <x:c r="F19" s="18" t="str">
        <x:v>Thêm log có cấu trúc theo run/agent/tool; đo thời gian và số lần gọi LLM/công cụ, token/chi phí khi có dữ liệu. Hỗ trợ baseline bằng runner đánh giá.</x:v>
      </x:c>
      <x:c r="G19" s="18" t="str">
        <x:v>Có trace dự án thật và kết quả eval chạy lại được. Thư mục .ai-log của công cụ phát triển không được coi là trace chạy agent.</x:v>
      </x:c>
      <x:c r="H19" s="18" t="str">
        <x:v>D111</x:v>
      </x:c>
      <x:c r="I19" s="18" t="str">
        <x:v>Dev2; BA</x:v>
      </x:c>
      <x:c r="J19" s="22" t="str">
        <x:v>Chưa bắt đầu</x:v>
      </x:c>
      <x:c r="K19" s="22" t="str">
        <x:v>Chưa kiểm tra</x:v>
      </x:c>
      <x:c r="L19" s="22"/>
      <x:c r="M19" s="22"/>
      <x:c r="N19" s="22"/>
      <x:c r="O19" s="23" t="str">
        <x:f>IF(J19="Hoàn thành",IF(AND(K19="Đạt",L19&lt;&gt;""),"Đã nghiệm thu","Thiếu xác nhận"),J19)</x:f>
        <x:v>Chưa bắt đầu</x:v>
      </x:c>
      <x:c r="P19" s="35" t="str">
        <x:v>src/main.py hiện print; eval/ chỉ có mẫu report</x:v>
      </x:c>
    </x:row>
    <x:row r="20" ht="80" customHeight="1">
      <x:c r="A20" s="24" t="str">
        <x:v>D113</x:v>
      </x:c>
      <x:c r="B20" s="25" t="n">
        <x:v>5</x:v>
      </x:c>
      <x:c r="C20" s="26" t="n">
        <x:f>WORKDAY('Tong quan'!$B$5-1,21)</x:f>
        <x:v>46314</x:v>
      </x:c>
      <x:c r="D20" s="26" t="n">
        <x:f>WORKDAY('Tong quan'!$B$5-1,22)</x:f>
        <x:v>46315</x:v>
      </x:c>
      <x:c r="E20" s="25" t="n">
        <x:v>5</x:v>
      </x:c>
      <x:c r="F20" s="24" t="str">
        <x:v>Sửa lỗi agent và bằng chứng từ bộ phát triển/kiểm thử. Ưu tiên vượt quyền, sai trạng thái, sai kết luận và thiếu nguồn.</x:v>
      </x:c>
      <x:c r="G20" s="24" t="str">
        <x:v>Mỗi lỗi có test tái hiện, bản sửa và kiểm tra chéo. Không dùng sửa prompt để thay cho kiểm soát quyền ở lớp thực thi.</x:v>
      </x:c>
      <x:c r="H20" s="24" t="str">
        <x:v>D112, BA12</x:v>
      </x:c>
      <x:c r="I20" s="24" t="str">
        <x:v>Dev2</x:v>
      </x:c>
      <x:c r="J20" s="27" t="str">
        <x:v>Chưa bắt đầu</x:v>
      </x:c>
      <x:c r="K20" s="27" t="str">
        <x:v>Chưa kiểm tra</x:v>
      </x:c>
      <x:c r="L20" s="27"/>
      <x:c r="M20" s="27"/>
      <x:c r="N20" s="27"/>
      <x:c r="O20" s="28" t="str">
        <x:f>IF(J20="Hoàn thành",IF(AND(K20="Đạt",L20&lt;&gt;""),"Đã nghiệm thu","Thiếu xác nhận"),J20)</x:f>
        <x:v>Chưa bắt đầu</x:v>
      </x:c>
      <x:c r="P20" s="35" t="str">
        <x:v>tests/; dataset phát triển BA04</x:v>
      </x:c>
    </x:row>
    <x:row r="21" ht="80" customHeight="1">
      <x:c r="A21" s="18" t="str">
        <x:v>D114</x:v>
      </x:c>
      <x:c r="B21" s="20" t="n">
        <x:v>5</x:v>
      </x:c>
      <x:c r="C21" s="21" t="n">
        <x:f>WORKDAY('Tong quan'!$B$5-1,23)</x:f>
        <x:v>46316</x:v>
      </x:c>
      <x:c r="D21" s="21" t="n">
        <x:f>WORKDAY('Tong quan'!$B$5-1,24)</x:f>
        <x:v>46317</x:v>
      </x:c>
      <x:c r="E21" s="20" t="n">
        <x:v>5</x:v>
      </x:c>
      <x:c r="F21" s="18" t="str">
        <x:v>Kiểm thử kỹ thuật cổng thực thi: phê duyệt lặp, đổi mục tiêu, thu hồi, khởi động lại và quyền riêng từng agent. Tối ưu trên tập phát triển.</x:v>
      </x:c>
      <x:c r="G21" s="18" t="str">
        <x:v>Toàn bộ test an toàn bắt buộc đạt. Ghi ảnh hưởng của chỉnh cấu hình tới chi phí/độ trễ; báo BA nếu thay phiên bản sau đánh giá.</x:v>
      </x:c>
      <x:c r="H21" s="18" t="str">
        <x:v>D113</x:v>
      </x:c>
      <x:c r="I21" s="18" t="str">
        <x:v>Dev2</x:v>
      </x:c>
      <x:c r="J21" s="22" t="str">
        <x:v>Chưa bắt đầu</x:v>
      </x:c>
      <x:c r="K21" s="22" t="str">
        <x:v>Chưa kiểm tra</x:v>
      </x:c>
      <x:c r="L21" s="22"/>
      <x:c r="M21" s="22"/>
      <x:c r="N21" s="22"/>
      <x:c r="O21" s="23" t="str">
        <x:f>IF(J21="Hoàn thành",IF(AND(K21="Đạt",L21&lt;&gt;""),"Đã nghiệm thu","Thiếu xác nhận"),J21)</x:f>
        <x:v>Chưa bắt đầu</x:v>
      </x:c>
      <x:c r="P21" s="35" t="str">
        <x:v>Chưa có bộ test quyền/HITL</x:v>
      </x:c>
    </x:row>
    <x:row r="22" ht="80" customHeight="1">
      <x:c r="A22" s="18" t="str">
        <x:v>D115</x:v>
      </x:c>
      <x:c r="B22" s="20" t="n">
        <x:v>5</x:v>
      </x:c>
      <x:c r="C22" s="21" t="n">
        <x:f>WORKDAY('Tong quan'!$B$5-1,25)</x:f>
        <x:v>46318</x:v>
      </x:c>
      <x:c r="D22" s="21" t="n">
        <x:f>WORKDAY('Tong quan'!$B$5-1,25)</x:f>
        <x:v>46318</x:v>
      </x:c>
      <x:c r="E22" s="20" t="n">
        <x:v>3</x:v>
      </x:c>
      <x:c r="F22" s="18" t="str">
        <x:v>Cố định bản agent và cấu hình đánh giá. Cập nhật ARCHITECTURE.md và docs/architecture_diagram.md để khớp mã, gồm dữ liệu, quyền, HITL và công cụ.</x:v>
      </x:c>
      <x:c r="G22" s="18" t="str">
        <x:v>Sơ đồ không còn phần RAG/DB/UI chỉ được vẽ nhưng chưa có. Dev2 chạy lại test và eval từ đúng phiên bản.</x:v>
      </x:c>
      <x:c r="H22" s="18" t="str">
        <x:v>D114</x:v>
      </x:c>
      <x:c r="I22" s="18" t="str">
        <x:v>Dev2; BA</x:v>
      </x:c>
      <x:c r="J22" s="22" t="str">
        <x:v>Chưa bắt đầu</x:v>
      </x:c>
      <x:c r="K22" s="22" t="str">
        <x:v>Chưa kiểm tra</x:v>
      </x:c>
      <x:c r="L22" s="22"/>
      <x:c r="M22" s="22"/>
      <x:c r="N22" s="22"/>
      <x:c r="O22" s="23" t="str">
        <x:f>IF(J22="Hoàn thành",IF(AND(K22="Đạt",L22&lt;&gt;""),"Đã nghiệm thu","Thiếu xác nhận"),J22)</x:f>
        <x:v>Chưa bắt đầu</x:v>
      </x:c>
      <x:c r="P22" s="35" t="str">
        <x:v>ARCHITECTURE.md; docs/architecture_diagram.md</x:v>
      </x:c>
    </x:row>
    <x:row r="23" ht="80" customHeight="1">
      <x:c r="A23" s="24" t="str">
        <x:v>D116</x:v>
      </x:c>
      <x:c r="B23" s="25" t="n">
        <x:v>6</x:v>
      </x:c>
      <x:c r="C23" s="26" t="n">
        <x:f>WORKDAY('Tong quan'!$B$5-1,26)</x:f>
        <x:v>46321</x:v>
      </x:c>
      <x:c r="D23" s="26" t="n">
        <x:f>WORKDAY('Tong quan'!$B$5-1,27)</x:f>
        <x:v>46322</x:v>
      </x:c>
      <x:c r="E23" s="25" t="n">
        <x:v>4</x:v>
      </x:c>
      <x:c r="F23" s="24" t="str">
        <x:v>Hoàn thiện hướng dẫn cấu hình backend, công cụ, quyền và khôi phục trạng thái. Hỗ trợ kiểm tra cài lại.</x:v>
      </x:c>
      <x:c r="G23" s="24" t="str">
        <x:v>Người khác chạy được từ tài liệu và dữ liệu mẫu. Không cần dùng khóa/tài khoản cá nhân của tác giả để hiểu hướng dẫn.</x:v>
      </x:c>
      <x:c r="H23" s="24" t="str">
        <x:v>D115</x:v>
      </x:c>
      <x:c r="I23" s="24" t="str">
        <x:v>Dev2</x:v>
      </x:c>
      <x:c r="J23" s="27" t="str">
        <x:v>Chưa bắt đầu</x:v>
      </x:c>
      <x:c r="K23" s="27" t="str">
        <x:v>Chưa kiểm tra</x:v>
      </x:c>
      <x:c r="L23" s="27"/>
      <x:c r="M23" s="27"/>
      <x:c r="N23" s="27"/>
      <x:c r="O23" s="28" t="str">
        <x:f>IF(J23="Hoàn thành",IF(AND(K23="Đạt",L23&lt;&gt;""),"Đã nghiệm thu","Thiếu xác nhận"),J23)</x:f>
        <x:v>Chưa bắt đầu</x:v>
      </x:c>
      <x:c r="P23" s="35" t="str">
        <x:v>README.md; src/config.py; requirements.txt</x:v>
      </x:c>
    </x:row>
    <x:row r="24" ht="80" customHeight="1">
      <x:c r="A24" s="18" t="str">
        <x:v>D117</x:v>
      </x:c>
      <x:c r="B24" s="20" t="n">
        <x:v>6</x:v>
      </x:c>
      <x:c r="C24" s="21" t="n">
        <x:f>WORKDAY('Tong quan'!$B$5-1,28)</x:f>
        <x:v>46323</x:v>
      </x:c>
      <x:c r="D24" s="21" t="n">
        <x:f>WORKDAY('Tong quan'!$B$5-1,29)</x:f>
        <x:v>46324</x:v>
      </x:c>
      <x:c r="E24" s="20" t="n">
        <x:v>4</x:v>
      </x:c>
      <x:c r="F24" s="18" t="str">
        <x:v>Chạy agent trong hai lượt diễn tập. Sửa lỗi nhỏ phát sinh và kiểm tra lại phần bị tác động.</x:v>
      </x:c>
      <x:c r="G24" s="18" t="str">
        <x:v>Luồng chính và tình huống lỗi có trace đầy đủ. Mọi thay đổi sau bản ứng viên được ghi nhận và BA kiểm lại.</x:v>
      </x:c>
      <x:c r="H24" s="18" t="str">
        <x:v>D116</x:v>
      </x:c>
      <x:c r="I24" s="18" t="str">
        <x:v>Dev2; BA</x:v>
      </x:c>
      <x:c r="J24" s="22" t="str">
        <x:v>Chưa bắt đầu</x:v>
      </x:c>
      <x:c r="K24" s="22" t="str">
        <x:v>Chưa kiểm tra</x:v>
      </x:c>
      <x:c r="L24" s="22"/>
      <x:c r="M24" s="22"/>
      <x:c r="N24" s="22"/>
      <x:c r="O24" s="23" t="str">
        <x:f>IF(J24="Hoàn thành",IF(AND(K24="Đạt",L24&lt;&gt;""),"Đã nghiệm thu","Thiếu xác nhận"),J24)</x:f>
        <x:v>Chưa bắt đầu</x:v>
      </x:c>
      <x:c r="P24" s="35" t="str">
        <x:v>presentation/; eval/results/report.md</x:v>
      </x:c>
    </x:row>
    <x:row r="25" ht="80" customHeight="1">
      <x:c r="A25" s="18" t="str">
        <x:v>D118</x:v>
      </x:c>
      <x:c r="B25" s="20" t="n">
        <x:v>6</x:v>
      </x:c>
      <x:c r="C25" s="21" t="n">
        <x:f>WORKDAY('Tong quan'!$B$5-1,30)</x:f>
        <x:v>46325</x:v>
      </x:c>
      <x:c r="D25" s="21" t="n">
        <x:f>WORKDAY('Tong quan'!$B$5-1,30)</x:f>
        <x:v>46325</x:v>
      </x:c>
      <x:c r="E25" s="20" t="n">
        <x:v>3</x:v>
      </x:c>
      <x:c r="F25" s="18" t="str">
        <x:v>Kiểm tra backend cuối: quyền công cụ, phiên chờ, giới hạn chạy và dữ liệu mẫu. Bàn giao mã/test/log tương ứng.</x:v>
      </x:c>
      <x:c r="G25" s="18" t="str">
        <x:v>Backend phản hồi ổn định, có người khác biết cách dừng và chạy lại. G5 lưu đúng phiên bản triển khai.</x:v>
      </x:c>
      <x:c r="H25" s="18" t="str">
        <x:v>D117</x:v>
      </x:c>
      <x:c r="I25" s="18" t="str">
        <x:v>Dev2; BA</x:v>
      </x:c>
      <x:c r="J25" s="22" t="str">
        <x:v>Chưa bắt đầu</x:v>
      </x:c>
      <x:c r="K25" s="22" t="str">
        <x:v>Chưa kiểm tra</x:v>
      </x:c>
      <x:c r="L25" s="22"/>
      <x:c r="M25" s="22"/>
      <x:c r="N25" s="22"/>
      <x:c r="O25" s="23" t="str">
        <x:f>IF(J25="Hoàn thành",IF(AND(K25="Đạt",L25&lt;&gt;""),"Đã nghiệm thu","Thiếu xác nhận"),J25)</x:f>
        <x:v>Chưa bắt đầu</x:v>
      </x:c>
      <x:c r="P25" s="35" t="str">
        <x:v>src/agents/; src/services/; tests/</x:v>
      </x:c>
    </x:row>
  </x:sheetData>
  <x:conditionalFormatting sqref="O8:O25">
    <x:cfRule type="containsText" dxfId="7" priority="1" operator="containsText" text="Thiếu xác nhận"/>
  </x:conditionalFormatting>
  <x:conditionalFormatting sqref="J8:J25">
    <x:cfRule type="containsText" dxfId="8" priority="2" operator="containsText" text="Bị chặn"/>
  </x:conditionalFormatting>
  <x:conditionalFormatting sqref="D8:D25">
    <x:cfRule type="expression" dxfId="9"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57ef6225f743409d"/>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5" hidden="0" customWidth="1"/>
    <x:col min="2" max="2" width="6" hidden="0" customWidth="1"/>
    <x:col min="3" max="3" width="11.75" hidden="0" customWidth="1"/>
    <x:col min="4" max="4" width="11.75" hidden="0" customWidth="1"/>
    <x:col min="5" max="5" width="7.25" hidden="0" customWidth="1"/>
    <x:col min="6" max="6" width="45" hidden="0" customWidth="1"/>
    <x:col min="7" max="7" width="48.75" hidden="0" customWidth="1"/>
    <x:col min="8" max="8" width="20.6299991607666" hidden="0" customWidth="1"/>
    <x:col min="9" max="9" width="13.5" hidden="0" customWidth="1"/>
    <x:col min="10" max="10" width="17.75" hidden="0" customWidth="1"/>
    <x:col min="11" max="11" width="15.75" hidden="0" customWidth="1"/>
    <x:col min="12" max="12" width="22.5" hidden="0" customWidth="1"/>
    <x:col min="13" max="13" width="11" hidden="0" customWidth="1"/>
    <x:col min="14" max="14" width="27.5" hidden="0" customWidth="1"/>
    <x:col min="15" max="15" width="19.3799991607666" hidden="0" customWidth="1"/>
    <x:col min="16" max="16" width="42.5" hidden="0" customWidth="1"/>
  </x:cols>
  <x:sheetData>
    <x:row r="1" ht="24" customHeight="1">
      <x:c r="A1" s="2"/>
      <x:c r="B1" s="2"/>
      <x:c r="C1" s="2"/>
      <x:c r="D1" s="2"/>
      <x:c r="E1" s="2"/>
      <x:c r="F1" s="2"/>
      <x:c r="G1" s="2"/>
      <x:c r="H1" s="2"/>
      <x:c r="I1" s="2"/>
      <x:c r="J1" s="2"/>
      <x:c r="K1" s="2"/>
      <x:c r="L1" s="2"/>
      <x:c r="M1" s="2"/>
      <x:c r="N1" s="2"/>
      <x:c r="O1" s="2"/>
      <x:c r="P1" s="1"/>
    </x:row>
    <x:row r="2" ht="24" customHeight="1">
      <x:c r="A2" s="3" t="str">
        <x:v>Dev2 | UI, API, dữ liệu, triển khai</x:v>
      </x:c>
      <x:c r="B2" s="2"/>
      <x:c r="C2" s="2"/>
      <x:c r="D2" s="2"/>
      <x:c r="E2" s="2"/>
      <x:c r="F2" s="2"/>
      <x:c r="G2" s="2"/>
      <x:c r="H2" s="2"/>
      <x:c r="I2" s="2"/>
      <x:c r="J2" s="2"/>
      <x:c r="K2" s="2"/>
      <x:c r="L2" s="2"/>
      <x:c r="M2" s="2"/>
      <x:c r="N2" s="2"/>
      <x:c r="O2" s="2"/>
      <x:c r="P2" s="1"/>
    </x:row>
    <x:row r="3" ht="24" customHeight="1">
      <x:c r="A3" s="4"/>
      <x:c r="B3" s="4"/>
      <x:c r="C3" s="4"/>
      <x:c r="D3" s="4"/>
      <x:c r="E3" s="4"/>
      <x:c r="F3" s="4"/>
      <x:c r="G3" s="4"/>
      <x:c r="H3" s="4"/>
      <x:c r="I3" s="4"/>
      <x:c r="J3" s="4"/>
      <x:c r="K3" s="4"/>
      <x:c r="L3" s="4"/>
      <x:c r="M3" s="4"/>
      <x:c r="N3" s="4"/>
      <x:c r="O3" s="4"/>
      <x:c r="P3" s="1"/>
    </x:row>
    <x:row r="4" ht="24" customHeight="1">
      <x:c r="A4" s="2" t="str">
        <x:v>Đối chiếu P-077 ngày 18/09/2026. Deadline riêng ở cột D; cơ sở hiện trạng ở cột P. Lịch chưa được nhóm xác nhận.</x:v>
      </x:c>
      <x:c r="B4" s="2"/>
      <x:c r="C4" s="2"/>
      <x:c r="D4" s="2"/>
      <x:c r="E4" s="2"/>
      <x:c r="F4" s="2"/>
      <x:c r="G4" s="2"/>
      <x:c r="H4" s="2"/>
      <x:c r="I4" s="2"/>
      <x:c r="J4" s="2"/>
      <x:c r="K4" s="2"/>
      <x:c r="L4" s="2"/>
      <x:c r="M4" s="2"/>
      <x:c r="N4" s="2"/>
      <x:c r="O4" s="2"/>
      <x:c r="P4" s="1"/>
    </x:row>
    <x:row r="5" ht="24" customHeight="1">
      <x:c r="A5" s="2" t="str">
        <x:v>Ô vàng để cập nhật. Hoàn thành cần người kiểm tra chọn Đạt và bằng chứng. Kết quả audit không tự đánh dấu task tương lai là xong.</x:v>
      </x:c>
      <x:c r="B5" s="2"/>
      <x:c r="C5" s="2"/>
      <x:c r="D5" s="2"/>
      <x:c r="E5" s="2"/>
      <x:c r="F5" s="2"/>
      <x:c r="G5" s="2"/>
      <x:c r="H5" s="2"/>
      <x:c r="I5" s="2"/>
      <x:c r="J5" s="2"/>
      <x:c r="K5" s="2"/>
      <x:c r="L5" s="2"/>
      <x:c r="M5" s="2"/>
      <x:c r="N5" s="2"/>
      <x:c r="O5" s="2"/>
      <x:c r="P5" s="1"/>
    </x:row>
    <x:row r="6" ht="24" customHeight="1">
      <x:c r="A6" s="2"/>
      <x:c r="B6" s="2"/>
      <x:c r="C6" s="2"/>
      <x:c r="D6" s="2"/>
      <x:c r="E6" s="2"/>
      <x:c r="F6" s="2"/>
      <x:c r="G6" s="2"/>
      <x:c r="H6" s="2"/>
      <x:c r="I6" s="2"/>
      <x:c r="J6" s="2"/>
      <x:c r="K6" s="2"/>
      <x:c r="L6" s="2"/>
      <x:c r="M6" s="2"/>
      <x:c r="N6" s="2"/>
      <x:c r="O6" s="2"/>
      <x:c r="P6" s="1"/>
    </x:row>
    <x:row r="7" ht="38" customHeight="1">
      <x:c r="A7" s="11" t="str">
        <x:v>Mã việc</x:v>
      </x:c>
      <x:c r="B7" s="11" t="str">
        <x:v>Tuần</x:v>
      </x:c>
      <x:c r="C7" s="11" t="str">
        <x:v>Bắt đầu</x:v>
      </x:c>
      <x:c r="D7" s="11" t="str">
        <x:v>Deadline</x:v>
      </x:c>
      <x:c r="E7" s="11" t="str">
        <x:v>Giờ dự kiến</x:v>
      </x:c>
      <x:c r="F7" s="11" t="str">
        <x:v>Công việc cần làm</x:v>
      </x:c>
      <x:c r="G7" s="11" t="str">
        <x:v>Hoàn thành khi</x:v>
      </x:c>
      <x:c r="H7" s="11" t="str">
        <x:v>Phụ thuộc</x:v>
      </x:c>
      <x:c r="I7" s="11" t="str">
        <x:v>Người kiểm tra</x:v>
      </x:c>
      <x:c r="J7" s="11" t="str">
        <x:v>Trạng thái</x:v>
      </x:c>
      <x:c r="K7" s="11" t="str">
        <x:v>Kết quả kiểm tra</x:v>
      </x:c>
      <x:c r="L7" s="11" t="str">
        <x:v>Liên kết bằng chứng</x:v>
      </x:c>
      <x:c r="M7" s="11" t="str">
        <x:v>Giờ thực tế</x:v>
      </x:c>
      <x:c r="N7" s="11" t="str">
        <x:v>Vướng mắc / cập nhật</x:v>
      </x:c>
      <x:c r="O7" s="11" t="str">
        <x:v>Nghiệm thu</x:v>
      </x:c>
      <x:c r="P7" s="33" t="str">
        <x:v>Cơ sở từ P-077 / nơi cần bổ sung</x:v>
      </x:c>
    </x:row>
    <x:row r="8" ht="80" customHeight="1">
      <x:c r="A8" s="24" t="str">
        <x:v>D201</x:v>
      </x:c>
      <x:c r="B8" s="25" t="n">
        <x:v>1</x:v>
      </x:c>
      <x:c r="C8" s="26" t="n">
        <x:f>WORKDAY('Tong quan'!$B$5-1,1)</x:f>
        <x:v>46286</x:v>
      </x:c>
      <x:c r="D8" s="26" t="n">
        <x:f>WORKDAY('Tong quan'!$B$5-1,2)</x:f>
        <x:v>46287</x:v>
      </x:c>
      <x:c r="E8" s="25" t="n">
        <x:v>5</x:v>
      </x:c>
      <x:c r="F8" s="24" t="str">
        <x:v>Dựng lab tách biệt với dữ liệu giả/cách reset. Tận dụng Docker/CI hiện có; kiểm tra lỗi quyền /root/.local khi chạy appuser và chốt dependency đã thử.</x:v>
      </x:c>
      <x:c r="G8" s="24" t="str">
        <x:v>Lab có phạm vi rõ. Có môi trường chạy Docker hoặc người hỗ trợ; bản cài lặp lại được. Sửa Docker nếu xác nhận lỗi, không coi có Dockerfile là đã deploy.</x:v>
      </x:c>
      <x:c r="H8" s="24" t="str">
        <x:v>PM01</x:v>
      </x:c>
      <x:c r="I8" s="24" t="str">
        <x:v>Dev1</x:v>
      </x:c>
      <x:c r="J8" s="27" t="str">
        <x:v>Chưa bắt đầu</x:v>
      </x:c>
      <x:c r="K8" s="27" t="str">
        <x:v>Chưa kiểm tra</x:v>
      </x:c>
      <x:c r="L8" s="27"/>
      <x:c r="M8" s="27"/>
      <x:c r="N8" s="27"/>
      <x:c r="O8" s="28" t="str">
        <x:f>IF(J8="Hoàn thành",IF(AND(K8="Đạt",L8&lt;&gt;""),"Đã nghiệm thu","Thiếu xác nhận"),J8)</x:f>
        <x:v>Chưa bắt đầu</x:v>
      </x:c>
      <x:c r="P8" s="35" t="str">
        <x:v>Dockerfile:7,15–16,27; .github/workflows/ci.yml; requirements.txt</x:v>
      </x:c>
    </x:row>
    <x:row r="9" ht="80" customHeight="1">
      <x:c r="A9" s="18" t="str">
        <x:v>D202</x:v>
      </x:c>
      <x:c r="B9" s="20" t="n">
        <x:v>1</x:v>
      </x:c>
      <x:c r="C9" s="21" t="n">
        <x:f>WORKDAY('Tong quan'!$B$5-1,3)</x:f>
        <x:v>46288</x:v>
      </x:c>
      <x:c r="D9" s="21" t="n">
        <x:f>WORKDAY('Tong quan'!$B$5-1,4)</x:f>
        <x:v>46289</x:v>
      </x:c>
      <x:c r="E9" s="20" t="n">
        <x:v>5</x:v>
      </x:c>
      <x:c r="F9" s="18" t="str">
        <x:v>Thiết kế kho dữ liệu và API cho run, step, approval, finding, evidence, tài khoản. Chốt UI đơn giản. Loại bỏ việc trả analysis nội bộ và lỗi thô trong API sản phẩm.</x:v>
      </x:c>
      <x:c r="G9" s="18" t="str">
        <x:v>Hợp đồng API được BA/Dev1 thống nhất; DB có bảng và cách cập nhật schema. API lỗi có mã/thông báo phù hợp, không trả detail=str(e) cho người dùng.</x:v>
      </x:c>
      <x:c r="H9" s="18" t="str">
        <x:v>D201, BA01</x:v>
      </x:c>
      <x:c r="I9" s="18" t="str">
        <x:v>Dev1; BA</x:v>
      </x:c>
      <x:c r="J9" s="22" t="str">
        <x:v>Chưa bắt đầu</x:v>
      </x:c>
      <x:c r="K9" s="22" t="str">
        <x:v>Chưa kiểm tra</x:v>
      </x:c>
      <x:c r="L9" s="22"/>
      <x:c r="M9" s="22"/>
      <x:c r="N9" s="22"/>
      <x:c r="O9" s="23" t="str">
        <x:f>IF(J9="Hoàn thành",IF(AND(K9="Đạt",L9&lt;&gt;""),"Đã nghiệm thu","Thiếu xác nhận"),J9)</x:f>
        <x:v>Chưa bắt đầu</x:v>
      </x:c>
      <x:c r="P9" s="35" t="str">
        <x:v>src/models/schemas.py; src/api/routes.py:19; DB chưa có</x:v>
      </x:c>
    </x:row>
    <x:row r="10" ht="80" customHeight="1">
      <x:c r="A10" s="18" t="str">
        <x:v>D203</x:v>
      </x:c>
      <x:c r="B10" s="20" t="n">
        <x:v>1</x:v>
      </x:c>
      <x:c r="C10" s="21" t="n">
        <x:f>WORKDAY('Tong quan'!$B$5-1,5)</x:f>
        <x:v>46290</x:v>
      </x:c>
      <x:c r="D10" s="21" t="n">
        <x:f>WORKDAY('Tong quan'!$B$5-1,5)</x:f>
        <x:v>46290</x:v>
      </x:c>
      <x:c r="E10" s="20" t="n">
        <x:v>3</x:v>
      </x:c>
      <x:c r="F10" s="18" t="str">
        <x:v>Dựng giao diện đầu tiên vì repo chưa có frontend. Build/chạy backend bằng user không phải root; triển khai URL thử tối thiểu và kiểm tra /health.</x:v>
      </x:c>
      <x:c r="G10" s="18" t="str">
        <x:v>Dev1 mở được URL từ máy khác; container khởi động được. Nếu chưa có Docker tại máy, ghi rõ môi trường kiểm chứng đã dùng.</x:v>
      </x:c>
      <x:c r="H10" s="18" t="str">
        <x:v>D202</x:v>
      </x:c>
      <x:c r="I10" s="18" t="str">
        <x:v>Dev1</x:v>
      </x:c>
      <x:c r="J10" s="22" t="str">
        <x:v>Chưa bắt đầu</x:v>
      </x:c>
      <x:c r="K10" s="22" t="str">
        <x:v>Chưa kiểm tra</x:v>
      </x:c>
      <x:c r="L10" s="22"/>
      <x:c r="M10" s="22"/>
      <x:c r="N10" s="22"/>
      <x:c r="O10" s="23" t="str">
        <x:f>IF(J10="Hoàn thành",IF(AND(K10="Đạt",L10&lt;&gt;""),"Đã nghiệm thu","Thiếu xác nhận"),J10)</x:f>
        <x:v>Chưa bắt đầu</x:v>
      </x:c>
      <x:c r="P10" s="35" t="str">
        <x:v>Không có package.json/UI; Dockerfile; src/main.py</x:v>
      </x:c>
    </x:row>
    <x:row r="11" ht="80" customHeight="1">
      <x:c r="A11" s="24" t="str">
        <x:v>D204</x:v>
      </x:c>
      <x:c r="B11" s="25" t="n">
        <x:v>2</x:v>
      </x:c>
      <x:c r="C11" s="26" t="n">
        <x:f>WORKDAY('Tong quan'!$B$5-1,6)</x:f>
        <x:v>46293</x:v>
      </x:c>
      <x:c r="D11" s="26" t="n">
        <x:f>WORKDAY('Tong quan'!$B$5-1,7)</x:f>
        <x:v>46294</x:v>
      </x:c>
      <x:c r="E11" s="25" t="n">
        <x:v>5</x:v>
      </x:c>
      <x:c r="F11" s="24" t="str">
        <x:v>Triển khai DB và lớp truy cập dữ liệu, đăng nhập, Operator/Approver, mục tiêu được phép và API tạo run. Bàn giao schema lưu trạng thái sớm cho Dev1.</x:v>
      </x:c>
      <x:c r="G11" s="24" t="str">
        <x:v>Dữ liệu được ghi/đọc thật; khởi động lại còn run. Quyền kiểm tra ở server; sai phạm vi hoặc tự duyệt bị từ chối. database_url đơn lẻ không được tính là DB.</x:v>
      </x:c>
      <x:c r="H11" s="24" t="str">
        <x:v>D203, BA03</x:v>
      </x:c>
      <x:c r="I11" s="24" t="str">
        <x:v>Dev1; BA</x:v>
      </x:c>
      <x:c r="J11" s="27" t="str">
        <x:v>Chưa bắt đầu</x:v>
      </x:c>
      <x:c r="K11" s="27" t="str">
        <x:v>Chưa kiểm tra</x:v>
      </x:c>
      <x:c r="L11" s="27"/>
      <x:c r="M11" s="27"/>
      <x:c r="N11" s="27"/>
      <x:c r="O11" s="28" t="str">
        <x:f>IF(J11="Hoàn thành",IF(AND(K11="Đạt",L11&lt;&gt;""),"Đã nghiệm thu","Thiếu xác nhận"),J11)</x:f>
        <x:v>Chưa bắt đầu</x:v>
      </x:c>
      <x:c r="P11" s="35" t="str">
        <x:v>src/config.py:30 chỉ có database_url; routes.py chưa auth</x:v>
      </x:c>
    </x:row>
    <x:row r="12" ht="80" customHeight="1">
      <x:c r="A12" s="18" t="str">
        <x:v>D205</x:v>
      </x:c>
      <x:c r="B12" s="20" t="n">
        <x:v>2</x:v>
      </x:c>
      <x:c r="C12" s="21" t="n">
        <x:f>WORKDAY('Tong quan'!$B$5-1,8)</x:f>
        <x:v>46295</x:v>
      </x:c>
      <x:c r="D12" s="21" t="n">
        <x:f>WORKDAY('Tong quan'!$B$5-1,9)</x:f>
        <x:v>46296</x:v>
      </x:c>
      <x:c r="E12" s="20" t="n">
        <x:v>5</x:v>
      </x:c>
      <x:c r="F12" s="18" t="str">
        <x:v>Làm màn hình tiến trình đọc trạng thái thật của Supervisor. Hiển thị run, bước, lỗi và liên kết bằng chứng Recon.</x:v>
      </x:c>
      <x:c r="G12" s="18" t="str">
        <x:v>Tải lại trang không mất phiên. Hiển thị đang chạy/đã lỗi/đã dừng đúng với backend, không dùng tiến trình giả.</x:v>
      </x:c>
      <x:c r="H12" s="18" t="str">
        <x:v>D204, D104</x:v>
      </x:c>
      <x:c r="I12" s="18" t="str">
        <x:v>Dev1</x:v>
      </x:c>
      <x:c r="J12" s="22" t="str">
        <x:v>Chưa bắt đầu</x:v>
      </x:c>
      <x:c r="K12" s="22" t="str">
        <x:v>Chưa kiểm tra</x:v>
      </x:c>
      <x:c r="L12" s="22"/>
      <x:c r="M12" s="22"/>
      <x:c r="N12" s="22"/>
      <x:c r="O12" s="23" t="str">
        <x:f>IF(J12="Hoàn thành",IF(AND(K12="Đạt",L12&lt;&gt;""),"Đã nghiệm thu","Thiếu xác nhận"),J12)</x:f>
        <x:v>Chưa bắt đầu</x:v>
      </x:c>
      <x:c r="P12" s="35" t="str">
        <x:v>src/api/routes.py chỉ có /chat, /status</x:v>
      </x:c>
    </x:row>
    <x:row r="13" ht="80" customHeight="1">
      <x:c r="A13" s="18" t="str">
        <x:v>D206</x:v>
      </x:c>
      <x:c r="B13" s="20" t="n">
        <x:v>2</x:v>
      </x:c>
      <x:c r="C13" s="21" t="n">
        <x:f>WORKDAY('Tong quan'!$B$5-1,10)</x:f>
        <x:v>46297</x:v>
      </x:c>
      <x:c r="D13" s="21" t="n">
        <x:f>WORKDAY('Tong quan'!$B$5-1,10)</x:f>
        <x:v>46297</x:v>
      </x:c>
      <x:c r="E13" s="20" t="n">
        <x:v>3</x:v>
      </x:c>
      <x:c r="F13" s="18" t="str">
        <x:v>Mở rộng CI sẵn có bằng kiểm tra tích hợp và build container. Tích hợp login, run, trạng thái, bằng chứng trên URL thử; xác nhận cách triển khai bản mới.</x:v>
      </x:c>
      <x:c r="G13" s="18" t="str">
        <x:v>Có bằng chứng build/chạy phiên bản hiện tại. Phân biệt CI kiểm tra mã với tự động triển khai; không tuyên bố CD khi chưa cấu hình.</x:v>
      </x:c>
      <x:c r="H13" s="18" t="str">
        <x:v>D205, D105</x:v>
      </x:c>
      <x:c r="I13" s="18" t="str">
        <x:v>Dev1; BA</x:v>
      </x:c>
      <x:c r="J13" s="22" t="str">
        <x:v>Chưa bắt đầu</x:v>
      </x:c>
      <x:c r="K13" s="22" t="str">
        <x:v>Chưa kiểm tra</x:v>
      </x:c>
      <x:c r="L13" s="22"/>
      <x:c r="M13" s="22"/>
      <x:c r="N13" s="22"/>
      <x:c r="O13" s="23" t="str">
        <x:f>IF(J13="Hoàn thành",IF(AND(K13="Đạt",L13&lt;&gt;""),"Đã nghiệm thu","Thiếu xác nhận"),J13)</x:f>
        <x:v>Chưa bắt đầu</x:v>
      </x:c>
      <x:c r="P13" s="35" t="str">
        <x:v>.github/workflows/ci.yml chỉ ruff/pytest, chưa build/deploy</x:v>
      </x:c>
    </x:row>
    <x:row r="14" ht="80" customHeight="1">
      <x:c r="A14" s="24" t="str">
        <x:v>D207</x:v>
      </x:c>
      <x:c r="B14" s="25" t="n">
        <x:v>3</x:v>
      </x:c>
      <x:c r="C14" s="26" t="n">
        <x:f>WORKDAY('Tong quan'!$B$5-1,11)</x:f>
        <x:v>46300</x:v>
      </x:c>
      <x:c r="D14" s="26" t="n">
        <x:f>WORKDAY('Tong quan'!$B$5-1,12)</x:f>
        <x:v>46301</x:v>
      </x:c>
      <x:c r="E14" s="25" t="n">
        <x:v>5</x:v>
      </x:c>
      <x:c r="F14" s="24" t="str">
        <x:v>Làm yêu cầu phê duyệt và màn hình Approver. Hiển thị lý do, ảnh hưởng, mục tiêu, hành động, tham số và hạn hiệu lực.</x:v>
      </x:c>
      <x:c r="G14" s="24" t="str">
        <x:v>Approve/reject được server xác thực đúng người và trạng thái. Lưu người duyệt, thời điểm, nội dung đã duyệt; thiếu dữ kiện thì giữ chờ.</x:v>
      </x:c>
      <x:c r="H14" s="24" t="str">
        <x:v>D206, BA03</x:v>
      </x:c>
      <x:c r="I14" s="24" t="str">
        <x:v>Dev1; BA</x:v>
      </x:c>
      <x:c r="J14" s="27" t="str">
        <x:v>Chưa bắt đầu</x:v>
      </x:c>
      <x:c r="K14" s="27" t="str">
        <x:v>Chưa kiểm tra</x:v>
      </x:c>
      <x:c r="L14" s="27"/>
      <x:c r="M14" s="27"/>
      <x:c r="N14" s="27"/>
      <x:c r="O14" s="28" t="str">
        <x:f>IF(J14="Hoàn thành",IF(AND(K14="Đạt",L14&lt;&gt;""),"Đã nghiệm thu","Thiếu xác nhận"),J14)</x:f>
        <x:v>Chưa bắt đầu</x:v>
      </x:c>
      <x:c r="P14" s="35" t="str">
        <x:v>Chưa có approval model/API/UI</x:v>
      </x:c>
    </x:row>
    <x:row r="15" ht="80" customHeight="1">
      <x:c r="A15" s="18" t="str">
        <x:v>D208</x:v>
      </x:c>
      <x:c r="B15" s="20" t="n">
        <x:v>3</x:v>
      </x:c>
      <x:c r="C15" s="21" t="n">
        <x:f>WORKDAY('Tong quan'!$B$5-1,13)</x:f>
        <x:v>46302</x:v>
      </x:c>
      <x:c r="D15" s="21" t="n">
        <x:f>WORKDAY('Tong quan'!$B$5-1,13)</x:f>
        <x:v>46302</x:v>
      </x:c>
      <x:c r="E15" s="20" t="n">
        <x:v>4</x:v>
      </x:c>
      <x:c r="F15" s="18" t="str">
        <x:v>Tích hợp một kênh Slack hoặc Teams. Gửi yêu cầu và liên kết/quy trình Approve/Reject đã được nhóm xác nhận.</x:v>
      </x:c>
      <x:c r="G15" s="18" t="str">
        <x:v>Thông báo gắn đúng run; danh tính người duyệt được xác thực. Kênh lỗi không làm agent tự tiếp tục. Hình thức tích hợp được PM/BA xác nhận phù hợp đề.</x:v>
      </x:c>
      <x:c r="H15" s="18" t="str">
        <x:v>D207, PM05</x:v>
      </x:c>
      <x:c r="I15" s="18" t="str">
        <x:v>Dev1; BA</x:v>
      </x:c>
      <x:c r="J15" s="22" t="str">
        <x:v>Chưa bắt đầu</x:v>
      </x:c>
      <x:c r="K15" s="22" t="str">
        <x:v>Chưa kiểm tra</x:v>
      </x:c>
      <x:c r="L15" s="22"/>
      <x:c r="M15" s="22"/>
      <x:c r="N15" s="22"/>
      <x:c r="O15" s="23" t="str">
        <x:f>IF(J15="Hoàn thành",IF(AND(K15="Đạt",L15&lt;&gt;""),"Đã nghiệm thu","Thiếu xác nhận"),J15)</x:f>
        <x:v>Chưa bắt đầu</x:v>
      </x:c>
      <x:c r="P15" s="35" t="str">
        <x:v>Chưa có tích hợp Slack/Teams</x:v>
      </x:c>
    </x:row>
    <x:row r="16" ht="80" customHeight="1">
      <x:c r="A16" s="18" t="str">
        <x:v>D209</x:v>
      </x:c>
      <x:c r="B16" s="20" t="n">
        <x:v>3</x:v>
      </x:c>
      <x:c r="C16" s="21" t="n">
        <x:f>WORKDAY('Tong quan'!$B$5-1,14)</x:f>
        <x:v>46303</x:v>
      </x:c>
      <x:c r="D16" s="21" t="n">
        <x:f>WORKDAY('Tong quan'!$B$5-1,15)</x:f>
        <x:v>46304</x:v>
      </x:c>
      <x:c r="E16" s="20" t="n">
        <x:v>4</x:v>
      </x:c>
      <x:c r="F16" s="18" t="str">
        <x:v>Kết nối quyết định với Supervisor. Chống gửi lặp, hiển thị hết hạn/từ chối và giữ nhật ký sau tải lại.</x:v>
      </x:c>
      <x:c r="G16" s="18" t="str">
        <x:v>G2 có cả duyệt và từ chối. Yêu cầu trùng không tạo hai lần thực thi; callback cũ không mở quyền cho hành động mới.</x:v>
      </x:c>
      <x:c r="H16" s="18" t="str">
        <x:v>D208</x:v>
      </x:c>
      <x:c r="I16" s="18" t="str">
        <x:v>Dev1; BA</x:v>
      </x:c>
      <x:c r="J16" s="22" t="str">
        <x:v>Chưa bắt đầu</x:v>
      </x:c>
      <x:c r="K16" s="22" t="str">
        <x:v>Chưa kiểm tra</x:v>
      </x:c>
      <x:c r="L16" s="22"/>
      <x:c r="M16" s="22"/>
      <x:c r="N16" s="22"/>
      <x:c r="O16" s="23" t="str">
        <x:f>IF(J16="Hoàn thành",IF(AND(K16="Đạt",L16&lt;&gt;""),"Đã nghiệm thu","Thiếu xác nhận"),J16)</x:f>
        <x:v>Chưa bắt đầu</x:v>
      </x:c>
      <x:c r="P16" s="35" t="str">
        <x:v>src/agents/graph.py; thêm API/trạng thái phê duyệt</x:v>
      </x:c>
    </x:row>
    <x:row r="17" ht="80" customHeight="1">
      <x:c r="A17" s="24" t="str">
        <x:v>D210</x:v>
      </x:c>
      <x:c r="B17" s="25" t="n">
        <x:v>4</x:v>
      </x:c>
      <x:c r="C17" s="26" t="n">
        <x:f>WORKDAY('Tong quan'!$B$5-1,16)</x:f>
        <x:v>46307</x:v>
      </x:c>
      <x:c r="D17" s="26" t="n">
        <x:f>WORKDAY('Tong quan'!$B$5-1,17)</x:f>
        <x:v>46308</x:v>
      </x:c>
      <x:c r="E17" s="25" t="n">
        <x:v>5</x:v>
      </x:c>
      <x:c r="F17" s="24" t="str">
        <x:v>Làm trang báo cáo và tải HTML/JSON từ findings/evidence đã lưu. Hiển thị phạm vi, mức xác minh, ảnh hưởng và bước chưa kiểm tra.</x:v>
      </x:c>
      <x:c r="G17" s="24" t="str">
        <x:v>Báo cáo thật từ run, không phải chat response. Quyền đọc dữ liệu đúng vai trò; không kết luận an toàn chỉ vì kết quả rỗng.</x:v>
      </x:c>
      <x:c r="H17" s="24" t="str">
        <x:v>D209, BA09</x:v>
      </x:c>
      <x:c r="I17" s="24" t="str">
        <x:v>Dev1; BA</x:v>
      </x:c>
      <x:c r="J17" s="27" t="str">
        <x:v>Chưa bắt đầu</x:v>
      </x:c>
      <x:c r="K17" s="27" t="str">
        <x:v>Chưa kiểm tra</x:v>
      </x:c>
      <x:c r="L17" s="27"/>
      <x:c r="M17" s="27"/>
      <x:c r="N17" s="27"/>
      <x:c r="O17" s="28" t="str">
        <x:f>IF(J17="Hoàn thành",IF(AND(K17="Đạt",L17&lt;&gt;""),"Đã nghiệm thu","Thiếu xác nhận"),J17)</x:f>
        <x:v>Chưa bắt đầu</x:v>
      </x:c>
      <x:c r="P17" s="35" t="str">
        <x:v>Chưa có report endpoint/UI/export</x:v>
      </x:c>
    </x:row>
    <x:row r="18" ht="80" customHeight="1">
      <x:c r="A18" s="18" t="str">
        <x:v>D211</x:v>
      </x:c>
      <x:c r="B18" s="20" t="n">
        <x:v>4</x:v>
      </x:c>
      <x:c r="C18" s="21" t="n">
        <x:f>WORKDAY('Tong quan'!$B$5-1,18)</x:f>
        <x:v>46309</x:v>
      </x:c>
      <x:c r="D18" s="21" t="n">
        <x:f>WORKDAY('Tong quan'!$B$5-1,19)</x:f>
        <x:v>46310</x:v>
      </x:c>
      <x:c r="E18" s="20" t="n">
        <x:v>4</x:v>
      </x:c>
      <x:c r="F18" s="18" t="str">
        <x:v>Hoàn thiện thông báo lỗi, dừng đợt, retry hợp lệ và quyền xem báo cáo/log. Rà dữ liệu nhạy cảm trong UI/log.</x:v>
      </x:c>
      <x:c r="G18" s="18" t="str">
        <x:v>Không lộ khóa hoặc dữ liệu không thuộc quyền người xem. Tải lại trang và truy cập báo cáo đúng vai trò đều được kiểm tra.</x:v>
      </x:c>
      <x:c r="H18" s="18" t="str">
        <x:v>D210</x:v>
      </x:c>
      <x:c r="I18" s="18" t="str">
        <x:v>Dev1; BA</x:v>
      </x:c>
      <x:c r="J18" s="22" t="str">
        <x:v>Chưa bắt đầu</x:v>
      </x:c>
      <x:c r="K18" s="22" t="str">
        <x:v>Chưa kiểm tra</x:v>
      </x:c>
      <x:c r="L18" s="22"/>
      <x:c r="M18" s="22"/>
      <x:c r="N18" s="22"/>
      <x:c r="O18" s="23" t="str">
        <x:f>IF(J18="Hoàn thành",IF(AND(K18="Đạt",L18&lt;&gt;""),"Đã nghiệm thu","Thiếu xác nhận"),J18)</x:f>
        <x:v>Chưa bắt đầu</x:v>
      </x:c>
      <x:c r="P18" s="35" t="str">
        <x:v>src/api/routes.py:19; src/models/schemas.py:10</x:v>
      </x:c>
    </x:row>
    <x:row r="19" ht="80" customHeight="1">
      <x:c r="A19" s="18" t="str">
        <x:v>D212</x:v>
      </x:c>
      <x:c r="B19" s="20" t="n">
        <x:v>4</x:v>
      </x:c>
      <x:c r="C19" s="21" t="n">
        <x:f>WORKDAY('Tong quan'!$B$5-1,20)</x:f>
        <x:v>46311</x:v>
      </x:c>
      <x:c r="D19" s="21" t="n">
        <x:f>WORKDAY('Tong quan'!$B$5-1,20)</x:f>
        <x:v>46311</x:v>
      </x:c>
      <x:c r="E19" s="20" t="n">
        <x:v>4</x:v>
      </x:c>
      <x:c r="F19" s="18" t="str">
        <x:v>Hoàn thiện cấu hình triển khai và giám sát. Rà đường kết nối UI/API/agent/DB, healthcheck, quyền công cụ/mạng và log lỗi theo run.</x:v>
      </x:c>
      <x:c r="G19" s="18" t="str">
        <x:v>G3 có live URL và dữ liệu lab. Kiểm tra config thực tế, không dùng sơ đồ kiến trúc mẫu để xác nhận thành phần đã vận hành.</x:v>
      </x:c>
      <x:c r="H19" s="18" t="str">
        <x:v>D211</x:v>
      </x:c>
      <x:c r="I19" s="18" t="str">
        <x:v>Dev1</x:v>
      </x:c>
      <x:c r="J19" s="22" t="str">
        <x:v>Chưa bắt đầu</x:v>
      </x:c>
      <x:c r="K19" s="22" t="str">
        <x:v>Chưa kiểm tra</x:v>
      </x:c>
      <x:c r="L19" s="22"/>
      <x:c r="M19" s="22"/>
      <x:c r="N19" s="22"/>
      <x:c r="O19" s="23" t="str">
        <x:f>IF(J19="Hoàn thành",IF(AND(K19="Đạt",L19&lt;&gt;""),"Đã nghiệm thu","Thiếu xác nhận"),J19)</x:f>
        <x:v>Chưa bắt đầu</x:v>
      </x:c>
      <x:c r="P19" s="35" t="str">
        <x:v>docker-compose.yml; src/main.py; CI hiện có</x:v>
      </x:c>
    </x:row>
    <x:row r="20" ht="80" customHeight="1">
      <x:c r="A20" s="24" t="str">
        <x:v>D213</x:v>
      </x:c>
      <x:c r="B20" s="25" t="n">
        <x:v>5</x:v>
      </x:c>
      <x:c r="C20" s="26" t="n">
        <x:f>WORKDAY('Tong quan'!$B$5-1,21)</x:f>
        <x:v>46314</x:v>
      </x:c>
      <x:c r="D20" s="26" t="n">
        <x:f>WORKDAY('Tong quan'!$B$5-1,22)</x:f>
        <x:v>46315</x:v>
      </x:c>
      <x:c r="E20" s="25" t="n">
        <x:v>5</x:v>
      </x:c>
      <x:c r="F20" s="24" t="str">
        <x:v>Sửa lỗi UI, API và quyền theo kết quả BA. Thêm kiểm thử hồi quy cho từng lỗi nghiêm trọng.</x:v>
      </x:c>
      <x:c r="G20" s="24" t="str">
        <x:v>Lỗi có bước tái hiện, bản sửa, test và người kiểm lại. Lỗi quyền được thử bằng API trực tiếp.</x:v>
      </x:c>
      <x:c r="H20" s="24" t="str">
        <x:v>D212, BA11</x:v>
      </x:c>
      <x:c r="I20" s="24" t="str">
        <x:v>Dev1; BA</x:v>
      </x:c>
      <x:c r="J20" s="27" t="str">
        <x:v>Chưa bắt đầu</x:v>
      </x:c>
      <x:c r="K20" s="27" t="str">
        <x:v>Chưa kiểm tra</x:v>
      </x:c>
      <x:c r="L20" s="27"/>
      <x:c r="M20" s="27"/>
      <x:c r="N20" s="27"/>
      <x:c r="O20" s="28" t="str">
        <x:f>IF(J20="Hoàn thành",IF(AND(K20="Đạt",L20&lt;&gt;""),"Đã nghiệm thu","Thiếu xác nhận"),J20)</x:f>
        <x:v>Chưa bắt đầu</x:v>
      </x:c>
      <x:c r="P20" s="35" t="str">
        <x:v>tests/test_api/test_routes.py hiện 3 ca nền</x:v>
      </x:c>
    </x:row>
    <x:row r="21" ht="80" customHeight="1">
      <x:c r="A21" s="18" t="str">
        <x:v>D214</x:v>
      </x:c>
      <x:c r="B21" s="20" t="n">
        <x:v>5</x:v>
      </x:c>
      <x:c r="C21" s="21" t="n">
        <x:f>WORKDAY('Tong quan'!$B$5-1,23)</x:f>
        <x:v>46316</x:v>
      </x:c>
      <x:c r="D21" s="21" t="n">
        <x:f>WORKDAY('Tong quan'!$B$5-1,24)</x:f>
        <x:v>46317</x:v>
      </x:c>
      <x:c r="E21" s="20" t="n">
        <x:v>5</x:v>
      </x:c>
      <x:c r="F21" s="18" t="str">
        <x:v>Triển khai bản ứng viên. Thử sao lưu, khôi phục dữ liệu và khởi động lại khi có run chờ duyệt.</x:v>
      </x:c>
      <x:c r="G21" s="18" t="str">
        <x:v>Dữ liệu và quyết định còn nguyên sau khôi phục. Chạy lại không lặp hành động đã thực hiện; có hướng dẫn phục hồi thực tế.</x:v>
      </x:c>
      <x:c r="H21" s="18" t="str">
        <x:v>D213</x:v>
      </x:c>
      <x:c r="I21" s="18" t="str">
        <x:v>Dev1</x:v>
      </x:c>
      <x:c r="J21" s="22" t="str">
        <x:v>Chưa bắt đầu</x:v>
      </x:c>
      <x:c r="K21" s="22" t="str">
        <x:v>Chưa kiểm tra</x:v>
      </x:c>
      <x:c r="L21" s="22"/>
      <x:c r="M21" s="22"/>
      <x:c r="N21" s="22"/>
      <x:c r="O21" s="23" t="str">
        <x:f>IF(J21="Hoàn thành",IF(AND(K21="Đạt",L21&lt;&gt;""),"Đã nghiệm thu","Thiếu xác nhận"),J21)</x:f>
        <x:v>Chưa bắt đầu</x:v>
      </x:c>
      <x:c r="P21" s="35" t="str">
        <x:v>DB và checkpoint mới; chưa có sao lưu trong repo</x:v>
      </x:c>
    </x:row>
    <x:row r="22" ht="80" customHeight="1">
      <x:c r="A22" s="18" t="str">
        <x:v>D215</x:v>
      </x:c>
      <x:c r="B22" s="20" t="n">
        <x:v>5</x:v>
      </x:c>
      <x:c r="C22" s="21" t="n">
        <x:f>WORKDAY('Tong quan'!$B$5-1,25)</x:f>
        <x:v>46318</x:v>
      </x:c>
      <x:c r="D22" s="21" t="n">
        <x:f>WORKDAY('Tong quan'!$B$5-1,25)</x:f>
        <x:v>46318</x:v>
      </x:c>
      <x:c r="E22" s="20" t="n">
        <x:v>3</x:v>
      </x:c>
      <x:c r="F22" s="18" t="str">
        <x:v>Kiểm tra URL, tài khoản demo, healthcheck, log và phiên bản. Chuẩn bị gói dữ liệu mẫu và cấu hình không chứa khóa.</x:v>
      </x:c>
      <x:c r="G22" s="18" t="str">
        <x:v>G4 có bản online dùng được và bản có thể cài lại. BA nhận được hướng dẫn truy cập đúng vai trò.</x:v>
      </x:c>
      <x:c r="H22" s="18" t="str">
        <x:v>D214</x:v>
      </x:c>
      <x:c r="I22" s="18" t="str">
        <x:v>Dev1; BA</x:v>
      </x:c>
      <x:c r="J22" s="22" t="str">
        <x:v>Chưa bắt đầu</x:v>
      </x:c>
      <x:c r="K22" s="22" t="str">
        <x:v>Chưa kiểm tra</x:v>
      </x:c>
      <x:c r="L22" s="22"/>
      <x:c r="M22" s="22"/>
      <x:c r="N22" s="22"/>
      <x:c r="O22" s="23" t="str">
        <x:f>IF(J22="Hoàn thành",IF(AND(K22="Đạt",L22&lt;&gt;""),"Đã nghiệm thu","Thiếu xác nhận"),J22)</x:f>
        <x:v>Chưa bắt đầu</x:v>
      </x:c>
      <x:c r="P22" s="35" t="str">
        <x:v>README.md chưa có live URL/tài khoản demo</x:v>
      </x:c>
    </x:row>
    <x:row r="23" ht="80" customHeight="1">
      <x:c r="A23" s="24" t="str">
        <x:v>D216</x:v>
      </x:c>
      <x:c r="B23" s="25" t="n">
        <x:v>6</x:v>
      </x:c>
      <x:c r="C23" s="26" t="n">
        <x:f>WORKDAY('Tong quan'!$B$5-1,26)</x:f>
        <x:v>46321</x:v>
      </x:c>
      <x:c r="D23" s="26" t="n">
        <x:f>WORKDAY('Tong quan'!$B$5-1,27)</x:f>
        <x:v>46322</x:v>
      </x:c>
      <x:c r="E23" s="25" t="n">
        <x:v>4</x:v>
      </x:c>
      <x:c r="F23" s="24" t="str">
        <x:v>Hoàn thiện README vận hành: cài bằng dependency đã chốt, cấu hình base URL, DB, Docker, triển khai, log, sao lưu/khôi phục và tài khoản demo.</x:v>
      </x:c>
      <x:c r="G23" s="24" t="str">
        <x:v>Dev1 chạy lại theo tài liệu. Không sửa docs/guide để làm tài liệu dự án; giữ phần hướng dẫn và khóa riêng tách khỏi hồ sơ công khai.</x:v>
      </x:c>
      <x:c r="H23" s="24" t="str">
        <x:v>D215</x:v>
      </x:c>
      <x:c r="I23" s="24" t="str">
        <x:v>Dev1</x:v>
      </x:c>
      <x:c r="J23" s="27" t="str">
        <x:v>Chưa bắt đầu</x:v>
      </x:c>
      <x:c r="K23" s="27" t="str">
        <x:v>Chưa kiểm tra</x:v>
      </x:c>
      <x:c r="L23" s="27"/>
      <x:c r="M23" s="27"/>
      <x:c r="N23" s="27"/>
      <x:c r="O23" s="28" t="str">
        <x:f>IF(J23="Hoàn thành",IF(AND(K23="Đạt",L23&lt;&gt;""),"Đã nghiệm thu","Thiếu xác nhận"),J23)</x:f>
        <x:v>Chưa bắt đầu</x:v>
      </x:c>
      <x:c r="P23" s="35" t="str">
        <x:v>README.md; Dockerfile; src/config.py; requirements.txt</x:v>
      </x:c>
    </x:row>
    <x:row r="24" ht="80" customHeight="1">
      <x:c r="A24" s="18" t="str">
        <x:v>D217</x:v>
      </x:c>
      <x:c r="B24" s="20" t="n">
        <x:v>6</x:v>
      </x:c>
      <x:c r="C24" s="21" t="n">
        <x:f>WORKDAY('Tong quan'!$B$5-1,28)</x:f>
        <x:v>46323</x:v>
      </x:c>
      <x:c r="D24" s="21" t="n">
        <x:f>WORKDAY('Tong quan'!$B$5-1,29)</x:f>
        <x:v>46324</x:v>
      </x:c>
      <x:c r="E24" s="20" t="n">
        <x:v>4</x:v>
      </x:c>
      <x:c r="F24" s="18" t="str">
        <x:v>Hỗ trợ quay video, diễn tập và chuẩn bị dữ liệu reset demo. Kiểm tra giao diện trên thiết bị trình chiếu.</x:v>
      </x:c>
      <x:c r="G24" s="18" t="str">
        <x:v>Video mở được; mẫu dữ liệu reset không làm mất bằng chứng cần bàn giao. Có phương án demo dự phòng đã thử.</x:v>
      </x:c>
      <x:c r="H24" s="18" t="str">
        <x:v>D216</x:v>
      </x:c>
      <x:c r="I24" s="18" t="str">
        <x:v>PM; BA</x:v>
      </x:c>
      <x:c r="J24" s="22" t="str">
        <x:v>Chưa bắt đầu</x:v>
      </x:c>
      <x:c r="K24" s="22" t="str">
        <x:v>Chưa kiểm tra</x:v>
      </x:c>
      <x:c r="L24" s="22"/>
      <x:c r="M24" s="22"/>
      <x:c r="N24" s="22"/>
      <x:c r="O24" s="23" t="str">
        <x:f>IF(J24="Hoàn thành",IF(AND(K24="Đạt",L24&lt;&gt;""),"Đã nghiệm thu","Thiếu xác nhận"),J24)</x:f>
        <x:v>Chưa bắt đầu</x:v>
      </x:c>
      <x:c r="P24" s="35" t="str">
        <x:v>presentation/ chỉ có README.md</x:v>
      </x:c>
    </x:row>
    <x:row r="25" ht="80" customHeight="1">
      <x:c r="A25" s="18" t="str">
        <x:v>D218</x:v>
      </x:c>
      <x:c r="B25" s="20" t="n">
        <x:v>6</x:v>
      </x:c>
      <x:c r="C25" s="21" t="n">
        <x:f>WORKDAY('Tong quan'!$B$5-1,30)</x:f>
        <x:v>46325</x:v>
      </x:c>
      <x:c r="D25" s="21" t="n">
        <x:f>WORKDAY('Tong quan'!$B$5-1,30)</x:f>
        <x:v>46325</x:v>
      </x:c>
      <x:c r="E25" s="20" t="n">
        <x:v>3</x:v>
      </x:c>
      <x:c r="F25" s="18" t="str">
        <x:v>Kiểm tra URL cuối và tài khoản bằng phiên trình duyệt mới. Rà quyền tải hồ sơ và cách dừng dịch vụ.</x:v>
      </x:c>
      <x:c r="G25" s="18" t="str">
        <x:v>G5 có URL, tài khoản demo và hướng dẫn dùng được. Không dùng liên kết chỉ mở được trên máy của Dev2.</x:v>
      </x:c>
      <x:c r="H25" s="18" t="str">
        <x:v>D217</x:v>
      </x:c>
      <x:c r="I25" s="18" t="str">
        <x:v>Dev1; BA</x:v>
      </x:c>
      <x:c r="J25" s="22" t="str">
        <x:v>Chưa bắt đầu</x:v>
      </x:c>
      <x:c r="K25" s="22" t="str">
        <x:v>Chưa kiểm tra</x:v>
      </x:c>
      <x:c r="L25" s="22"/>
      <x:c r="M25" s="22"/>
      <x:c r="N25" s="22"/>
      <x:c r="O25" s="23" t="str">
        <x:f>IF(J25="Hoàn thành",IF(AND(K25="Đạt",L25&lt;&gt;""),"Đã nghiệm thu","Thiếu xác nhận"),J25)</x:f>
        <x:v>Chưa bắt đầu</x:v>
      </x:c>
      <x:c r="P25" s="35" t="str">
        <x:v>URL/tài khoản được tạo trong quá trình thực hiện</x:v>
      </x:c>
    </x:row>
  </x:sheetData>
  <x:conditionalFormatting sqref="O8:O25">
    <x:cfRule type="containsText" dxfId="10" priority="1" operator="containsText" text="Thiếu xác nhận"/>
  </x:conditionalFormatting>
  <x:conditionalFormatting sqref="J8:J25">
    <x:cfRule type="containsText" dxfId="11" priority="2" operator="containsText" text="Bị chặn"/>
  </x:conditionalFormatting>
  <x:conditionalFormatting sqref="D8:D25">
    <x:cfRule type="expression" dxfId="12" priority="3">
      <x:formula>AND($D8&lt;TODAY(),$O8&lt;&gt;"Đã nghiệm thu")</x:formula>
    </x:cfRule>
  </x:conditionalFormatting>
  <x:dataValidations count="2">
    <x:dataValidation type="list" sqref="J8:J25">
      <x:formula1>"Chưa bắt đầu,Đang làm,Bị chặn,Chờ kiểm tra,Hoàn thành"</x:formula1>
    </x:dataValidation>
    <x:dataValidation type="list" sqref="K8:K25">
      <x:formula1>"Chưa kiểm tra,Cần sửa,Đạt"</x:formula1>
    </x:dataValidation>
  </x:dataValidations>
  <x:pageMargins left="0.7" right="0.7" top="0.75" bottom="0.75" header="0.3" footer="0.3"/>
  <x:tableParts count="1">
    <x:tablePart xmlns:r="http://schemas.openxmlformats.org/officeDocument/2006/relationships" r:id="R7558897eee6e4d71"/>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0.25" hidden="0" customWidth="1"/>
    <x:col min="2" max="2" width="12" hidden="0" customWidth="1"/>
    <x:col min="3" max="3" width="35" hidden="0" customWidth="1"/>
    <x:col min="4" max="4" width="53.75" hidden="0" customWidth="1"/>
    <x:col min="5" max="5" width="15" hidden="0" customWidth="1"/>
    <x:col min="6" max="6" width="16.5" hidden="0" customWidth="1"/>
    <x:col min="7" max="7" width="25" hidden="0" customWidth="1"/>
    <x:col min="8" max="8" width="36.25" hidden="0" customWidth="1"/>
  </x:cols>
  <x:sheetData>
    <x:row r="1" ht="24" customHeight="1">
      <x:c r="A1" s="2"/>
      <x:c r="B1" s="2"/>
      <x:c r="C1" s="2"/>
      <x:c r="D1" s="2"/>
      <x:c r="E1" s="2"/>
      <x:c r="F1" s="2"/>
      <x:c r="G1" s="2"/>
      <x:c r="H1" s="2"/>
    </x:row>
    <x:row r="2" ht="24" customHeight="1">
      <x:c r="A2" s="3" t="str">
        <x:v>Checkpoint và hồ sơ bàn giao</x:v>
      </x:c>
      <x:c r="B2" s="2"/>
      <x:c r="C2" s="2"/>
      <x:c r="D2" s="2"/>
      <x:c r="E2" s="2"/>
      <x:c r="F2" s="2"/>
      <x:c r="G2" s="2"/>
      <x:c r="H2" s="2"/>
    </x:row>
    <x:row r="3" ht="24" customHeight="1">
      <x:c r="A3" s="4"/>
      <x:c r="B3" s="4"/>
      <x:c r="C3" s="4"/>
      <x:c r="D3" s="4"/>
      <x:c r="E3" s="4"/>
      <x:c r="F3" s="4"/>
      <x:c r="G3" s="4"/>
      <x:c r="H3" s="4"/>
    </x:row>
    <x:row r="4" ht="24" customHeight="1">
      <x:c r="A4" s="2" t="str">
        <x:v>PM chủ trì đánh giá. Người kiểm tra lưu bằng chứng và chọn Đạt/Chưa đạt; ngày là mốc đề xuất.</x:v>
      </x:c>
      <x:c r="B4" s="2"/>
      <x:c r="C4" s="2"/>
      <x:c r="D4" s="2"/>
      <x:c r="E4" s="2"/>
      <x:c r="F4" s="2"/>
      <x:c r="G4" s="2"/>
      <x:c r="H4" s="2"/>
    </x:row>
    <x:row r="5" ht="24" customHeight="1">
      <x:c r="A5" s="2"/>
      <x:c r="B5" s="2"/>
      <x:c r="C5" s="2"/>
      <x:c r="D5" s="2"/>
      <x:c r="E5" s="2"/>
      <x:c r="F5" s="2"/>
      <x:c r="G5" s="2"/>
      <x:c r="H5" s="2"/>
    </x:row>
    <x:row r="6" ht="38" customHeight="1">
      <x:c r="A6" s="11" t="str">
        <x:v>Mốc</x:v>
      </x:c>
      <x:c r="B6" s="11" t="str">
        <x:v>Deadline</x:v>
      </x:c>
      <x:c r="C6" s="11" t="str">
        <x:v>Đầu ra cần xem</x:v>
      </x:c>
      <x:c r="D6" s="11" t="str">
        <x:v>Điều kiện qua mốc</x:v>
      </x:c>
      <x:c r="E6" s="11" t="str">
        <x:v>Người xác nhận</x:v>
      </x:c>
      <x:c r="F6" s="11" t="str">
        <x:v>Kết quả</x:v>
      </x:c>
      <x:c r="G6" s="11" t="str">
        <x:v>Bằng chứng</x:v>
      </x:c>
      <x:c r="H6" s="11" t="str">
        <x:v>Nếu chưa đạt</x:v>
      </x:c>
    </x:row>
    <x:row r="7" ht="80" customHeight="1">
      <x:c r="A7" s="18" t="str">
        <x:v>G0</x:v>
      </x:c>
      <x:c r="B7" s="19" t="n">
        <x:f>WORKDAY('Tong quan'!$B$5-1,5)</x:f>
        <x:v>46290</x:v>
      </x:c>
      <x:c r="C7" s="18" t="str">
        <x:v>Chốt phạm vi và chạy khung</x:v>
      </x:c>
      <x:c r="D7" s="18" t="str">
        <x:v>Giữ 5 test nền đạt; có thử kết nối LLM, lab, schema chung, luồng agent/tool mô phỏng và Docker/URL thử. Hai dev chạy lại phần của nhau; rà lại ước lượng.</x:v>
      </x:c>
      <x:c r="E7" s="18" t="str">
        <x:v>PM</x:v>
      </x:c>
      <x:c r="F7" s="22" t="str">
        <x:v>Chưa kiểm tra</x:v>
      </x:c>
      <x:c r="G7" s="22"/>
      <x:c r="H7" s="18" t="str">
        <x:v>Nếu chưa chạy/hiểu được khung: giảm công nghệ, thu nhỏ phép thử và tìm hỗ trợ kỹ thuật; chưa hứa toàn bộ tính năng.</x:v>
      </x:c>
    </x:row>
    <x:row r="8" ht="80" customHeight="1">
      <x:c r="A8" s="18" t="str">
        <x:v>G1</x:v>
      </x:c>
      <x:c r="B8" s="19" t="n">
        <x:f>WORKDAY('Tong quan'!$B$5-1,10)</x:f>
        <x:v>46297</x:v>
      </x:c>
      <x:c r="C8" s="18" t="str">
        <x:v>Operator → Recon → bằng chứng</x:v>
      </x:c>
      <x:c r="D8" s="18" t="str">
        <x:v>URL thử có 2 vai trò, API run và DB thật. Recon có tool/evidence; chặn ngoài phạm vi. Không lấy /chat ghép chuỗi làm kết quả AI.</x:v>
      </x:c>
      <x:c r="E8" s="18" t="str">
        <x:v>PM + BA</x:v>
      </x:c>
      <x:c r="F8" s="22" t="str">
        <x:v>Chưa kiểm tra</x:v>
      </x:c>
      <x:c r="G8" s="22"/>
      <x:c r="H8" s="18" t="str">
        <x:v>Nếu tích hợp trễ: ưu tiên nối một luồng hoàn chỉnh; hoãn dashboard đẹp và tính năng phụ.</x:v>
      </x:c>
    </x:row>
    <x:row r="9" ht="80" customHeight="1">
      <x:c r="A9" s="18" t="str">
        <x:v>G2</x:v>
      </x:c>
      <x:c r="B9" s="19" t="n">
        <x:f>WORKDAY('Tong quan'!$B$5-1,15)</x:f>
        <x:v>46304</x:v>
      </x:c>
      <x:c r="C9" s="18" t="str">
        <x:v>Fuzzing, Exploit và HITL</x:v>
      </x:c>
      <x:c r="D9" s="18" t="str">
        <x:v>Approve/reject/hết hạn/sai quyền/đổi tham số được thử. Agent không vượt cổng thực thi. Một kênh Slack/Teams đã kết nối theo phạm vi được xác nhận.</x:v>
      </x:c>
      <x:c r="E9" s="18" t="str">
        <x:v>BA + 2 Dev</x:v>
      </x:c>
      <x:c r="F9" s="22" t="str">
        <x:v>Chưa kiểm tra</x:v>
      </x:c>
      <x:c r="G9" s="22"/>
      <x:c r="H9" s="18" t="str">
        <x:v>Nếu kiểm soát an toàn lỗi: khóa thực thi bước rủi ro, sửa trước khi mở lại; không bỏ cổng để kịp demo.</x:v>
      </x:c>
    </x:row>
    <x:row r="10" ht="80" customHeight="1">
      <x:c r="A10" s="18" t="str">
        <x:v>G3</x:v>
      </x:c>
      <x:c r="B10" s="19" t="n">
        <x:f>WORKDAY('Tong quan'!$B$5-1,20)</x:f>
        <x:v>46311</x:v>
      </x:c>
      <x:c r="C10" s="18" t="str">
        <x:v>MVP đủ luồng và baseline</x:v>
      </x:c>
      <x:c r="D10" s="18" t="str">
        <x:v>Có báo cáo gắn bằng chứng, xử lý lỗi và số liệu 16 ca phát triển. Chốt ngưỡng AI trước holdout. Khóa tính năng.</x:v>
      </x:c>
      <x:c r="E10" s="18" t="str">
        <x:v>PM + BA</x:v>
      </x:c>
      <x:c r="F10" s="22" t="str">
        <x:v>Chưa kiểm tra</x:v>
      </x:c>
      <x:c r="G10" s="22"/>
      <x:c r="H10" s="18" t="str">
        <x:v>Cắt toàn bộ Could; ưu tiên Must còn thiếu. Công bố giới hạn và chốt lại lịch nếu Must không thể hoàn thành.</x:v>
      </x:c>
    </x:row>
    <x:row r="11" ht="80" customHeight="1">
      <x:c r="A11" s="18" t="str">
        <x:v>G4</x:v>
      </x:c>
      <x:c r="B11" s="19" t="n">
        <x:f>WORKDAY('Tong quan'!$B$5-1,25)</x:f>
        <x:v>46318</x:v>
      </x:c>
      <x:c r="C11" s="18" t="str">
        <x:v>Ứng viên bàn giao</x:v>
      </x:c>
      <x:c r="D11" s="18" t="str">
        <x:v>8 ca giữ riêng được đo có phiên bản. UAT và kiểm thử hồi quy đạt; không còn lỗi an toàn/luồng chính/bằng chứng nghiêm trọng. Thử khôi phục thành công.</x:v>
      </x:c>
      <x:c r="E11" s="18" t="str">
        <x:v>PM + BA</x:v>
      </x:c>
      <x:c r="F11" s="22" t="str">
        <x:v>Chưa kiểm tra</x:v>
      </x:c>
      <x:c r="G11" s="22"/>
      <x:c r="H11" s="18" t="str">
        <x:v>Không phát hành như bản đạt khi lỗi chặn còn mở. Dùng dự phòng tuần 6, cập nhật phạm vi hoặc hạn với nhóm.</x:v>
      </x:c>
    </x:row>
    <x:row r="12" ht="80" customHeight="1">
      <x:c r="A12" s="18" t="str">
        <x:v>G5</x:v>
      </x:c>
      <x:c r="B12" s="19" t="n">
        <x:f>WORKDAY('Tong quan'!$B$5-1,30)</x:f>
        <x:v>46325</x:v>
      </x:c>
      <x:c r="C12" s="18" t="str">
        <x:v>Demo và bàn giao</x:v>
      </x:c>
      <x:c r="D12" s="18" t="str">
        <x:v>Hai lượt demo chính/lỗi, ba lượt tập trình bày, video 3–5 phút, đủ hồ sơ. URL/mã/eval/tài liệu khớp phiên bản và yêu cầu BTC đã xác nhận.</x:v>
      </x:c>
      <x:c r="E12" s="18" t="str">
        <x:v>PM</x:v>
      </x:c>
      <x:c r="F12" s="22" t="str">
        <x:v>Chưa kiểm tra</x:v>
      </x:c>
      <x:c r="G12" s="22"/>
      <x:c r="H12" s="18" t="str">
        <x:v>Nếu live lỗi: dùng bản quay đã ghi nhãn; nói rõ trạng thái thực tế, khắc phục và thông báo người nhận.</x:v>
      </x:c>
    </x:row>
    <x:row r="13" ht="24" customHeight="1">
      <x:c r="A13" s="2"/>
      <x:c r="B13" s="2"/>
      <x:c r="C13" s="2"/>
      <x:c r="D13" s="2"/>
      <x:c r="E13" s="2"/>
      <x:c r="F13" s="2"/>
      <x:c r="G13" s="2"/>
      <x:c r="H13" s="2"/>
    </x:row>
    <x:row r="14" ht="24" customHeight="1">
      <x:c r="A14" s="2"/>
      <x:c r="B14" s="2"/>
      <x:c r="C14" s="2"/>
      <x:c r="D14" s="2"/>
      <x:c r="E14" s="2"/>
      <x:c r="F14" s="2"/>
      <x:c r="G14" s="2"/>
      <x:c r="H14" s="2"/>
    </x:row>
    <x:row r="15" ht="24" customHeight="1">
      <x:c r="A15" s="2" t="str">
        <x:v>10 đầu ra bàn giao theo README hiện có; đối chiếu yêu cầu BTC trước khi nộp.</x:v>
      </x:c>
      <x:c r="B15" s="2"/>
      <x:c r="C15" s="2"/>
      <x:c r="D15" s="2"/>
      <x:c r="E15" s="2"/>
      <x:c r="F15" s="2"/>
      <x:c r="G15" s="2"/>
      <x:c r="H15" s="2"/>
    </x:row>
    <x:row r="16" ht="24" customHeight="1">
      <x:c r="A16" s="2"/>
      <x:c r="B16" s="2"/>
      <x:c r="C16" s="2"/>
      <x:c r="D16" s="2"/>
      <x:c r="E16" s="2"/>
      <x:c r="F16" s="2"/>
      <x:c r="G16" s="2"/>
      <x:c r="H16" s="2"/>
    </x:row>
    <x:row r="17" ht="38" customHeight="1">
      <x:c r="A17" s="11" t="str">
        <x:v>Mã</x:v>
      </x:c>
      <x:c r="B17" s="11" t="str">
        <x:v>Deadline</x:v>
      </x:c>
      <x:c r="C17" s="11" t="str">
        <x:v>Hạng mục</x:v>
      </x:c>
      <x:c r="D17" s="11" t="str">
        <x:v>Điều kiện bàn giao</x:v>
      </x:c>
      <x:c r="E17" s="11" t="str">
        <x:v>Chủ trì</x:v>
      </x:c>
      <x:c r="F17" s="11" t="str">
        <x:v>Kết quả</x:v>
      </x:c>
      <x:c r="G17" s="11" t="str">
        <x:v>Bằng chứng</x:v>
      </x:c>
      <x:c r="H17" s="11" t="str">
        <x:v>Ghi chú</x:v>
      </x:c>
    </x:row>
    <x:row r="18" ht="80" customHeight="1">
      <x:c r="A18" s="18" t="str">
        <x:v>BG01</x:v>
      </x:c>
      <x:c r="B18" s="19" t="n">
        <x:f>WORKDAY('Tong quan'!$B$5-1,30)</x:f>
        <x:v>46325</x:v>
      </x:c>
      <x:c r="C18" s="18" t="str">
        <x:v>Mã nguồn và dữ liệu mẫu</x:v>
      </x:c>
      <x:c r="D18" s="18" t="str">
        <x:v>Có bản cố định, test và dữ liệu lab không nhạy cảm; người khác tải và chạy lại được.</x:v>
      </x:c>
      <x:c r="E18" s="18" t="str">
        <x:v>Dev1 + Dev2</x:v>
      </x:c>
      <x:c r="F18" s="22" t="str">
        <x:v>Chưa kiểm tra</x:v>
      </x:c>
      <x:c r="G18" s="22"/>
      <x:c r="H18" s="22"/>
    </x:row>
    <x:row r="19" ht="80" customHeight="1">
      <x:c r="A19" s="18" t="str">
        <x:v>BG02</x:v>
      </x:c>
      <x:c r="B19" s="19" t="n">
        <x:f>WORKDAY('Tong quan'!$B$5-1,29)</x:f>
        <x:v>46324</x:v>
      </x:c>
      <x:c r="C19" s="18" t="str">
        <x:v>README và hướng dẫn vận hành</x:v>
      </x:c>
      <x:c r="D19" s="18" t="str">
        <x:v>Cài đặt, cấu hình, tài khoản demo, deploy, xem log và khôi phục.</x:v>
      </x:c>
      <x:c r="E19" s="18" t="str">
        <x:v>Dev2</x:v>
      </x:c>
      <x:c r="F19" s="22" t="str">
        <x:v>Chưa kiểm tra</x:v>
      </x:c>
      <x:c r="G19" s="22"/>
      <x:c r="H19" s="22"/>
    </x:row>
    <x:row r="20" ht="80" customHeight="1">
      <x:c r="A20" s="18" t="str">
        <x:v>BG03</x:v>
      </x:c>
      <x:c r="B20" s="19" t="n">
        <x:f>WORKDAY('Tong quan'!$B$5-1,29)</x:f>
        <x:v>46324</x:v>
      </x:c>
      <x:c r="C20" s="18" t="str">
        <x:v>Sơ đồ kiến trúc</x:v>
      </x:c>
      <x:c r="D20" s="18" t="str">
        <x:v>Cập nhật ARCHITECTURE.md và docs/architecture_diagram.md theo thành phần thực sự đã triển khai; không giữ sơ đồ mẫu sai hiện trạng.</x:v>
      </x:c>
      <x:c r="E20" s="18" t="str">
        <x:v>Dev1</x:v>
      </x:c>
      <x:c r="F20" s="22" t="str">
        <x:v>Chưa kiểm tra</x:v>
      </x:c>
      <x:c r="G20" s="22"/>
      <x:c r="H20" s="22"/>
    </x:row>
    <x:row r="21" ht="80" customHeight="1">
      <x:c r="A21" s="18" t="str">
        <x:v>BG04</x:v>
      </x:c>
      <x:c r="B21" s="19" t="n">
        <x:f>WORKDAY('Tong quan'!$B$5-1,30)</x:f>
        <x:v>46325</x:v>
      </x:c>
      <x:c r="C21" s="18" t="str">
        <x:v>AI logs và trace</x:v>
      </x:c>
      <x:c r="D21" s="18" t="str">
        <x:v>Dấu vết sử dụng AI/agent theo quy định BTC, không chứa khóa; nhóm tự xác nhận cách nộp hợp lệ.</x:v>
      </x:c>
      <x:c r="E21" s="18" t="str">
        <x:v>Cả nhóm</x:v>
      </x:c>
      <x:c r="F21" s="22" t="str">
        <x:v>Chưa kiểm tra</x:v>
      </x:c>
      <x:c r="G21" s="22"/>
      <x:c r="H21" s="22"/>
    </x:row>
    <x:row r="22" ht="80" customHeight="1">
      <x:c r="A22" s="18" t="str">
        <x:v>BG05</x:v>
      </x:c>
      <x:c r="B22" s="19" t="n">
        <x:f>WORKDAY('Tong quan'!$B$5-1,30)</x:f>
        <x:v>46325</x:v>
      </x:c>
      <x:c r="C22" s="18" t="str">
        <x:v>URL chạy thật</x:v>
      </x:c>
      <x:c r="D22" s="18" t="str">
        <x:v>Mở từ thiết bị khác, đăng nhập hai vai trò, chạy luồng được hỗ trợ.</x:v>
      </x:c>
      <x:c r="E22" s="18" t="str">
        <x:v>Dev2</x:v>
      </x:c>
      <x:c r="F22" s="22" t="str">
        <x:v>Chưa kiểm tra</x:v>
      </x:c>
      <x:c r="G22" s="22"/>
      <x:c r="H22" s="22"/>
    </x:row>
    <x:row r="23" ht="80" customHeight="1">
      <x:c r="A23" s="18" t="str">
        <x:v>BG06</x:v>
      </x:c>
      <x:c r="B23" s="19" t="n">
        <x:f>WORKDAY('Tong quan'!$B$5-1,29)</x:f>
        <x:v>46324</x:v>
      </x:c>
      <x:c r="C23" s="18" t="str">
        <x:v>Video demo</x:v>
      </x:c>
      <x:c r="D23" s="18" t="str">
        <x:v>Video 3–5 phút gồm luồng chính và một lỗi; cùng phiên bản sản phẩm bàn giao.</x:v>
      </x:c>
      <x:c r="E23" s="18" t="str">
        <x:v>Dev2 + PM</x:v>
      </x:c>
      <x:c r="F23" s="22" t="str">
        <x:v>Chưa kiểm tra</x:v>
      </x:c>
      <x:c r="G23" s="22"/>
      <x:c r="H23" s="22"/>
    </x:row>
    <x:row r="24" ht="80" customHeight="1">
      <x:c r="A24" s="18" t="str">
        <x:v>BG07</x:v>
      </x:c>
      <x:c r="B24" s="19" t="n">
        <x:f>WORKDAY('Tong quan'!$B$5-1,29)</x:f>
        <x:v>46324</x:v>
      </x:c>
      <x:c r="C24" s="18" t="str">
        <x:v>Slide thuyết trình</x:v>
      </x:c>
      <x:c r="D24" s="18" t="str">
        <x:v>Khoảng 10 slide, số liệu thực đo, PDF/PPTX theo yêu cầu BTC đã xác nhận; không lấy target mẫu làm kết quả.</x:v>
      </x:c>
      <x:c r="E24" s="18" t="str">
        <x:v>PM</x:v>
      </x:c>
      <x:c r="F24" s="22" t="str">
        <x:v>Chưa kiểm tra</x:v>
      </x:c>
      <x:c r="G24" s="22"/>
      <x:c r="H24" s="22"/>
    </x:row>
    <x:row r="25" ht="80" customHeight="1">
      <x:c r="A25" s="18" t="str">
        <x:v>BG08</x:v>
      </x:c>
      <x:c r="B25" s="19" t="n">
        <x:f>WORKDAY('Tong quan'!$B$5-1,30)</x:f>
        <x:v>46325</x:v>
      </x:c>
      <x:c r="C25" s="18" t="str">
        <x:v>Nhật ký quyết định</x:v>
      </x:c>
      <x:c r="D25" s="18" t="str">
        <x:v>Lý do chọn phạm vi/công nghệ, thay đổi quan trọng và bài học.</x:v>
      </x:c>
      <x:c r="E25" s="18" t="str">
        <x:v>PM</x:v>
      </x:c>
      <x:c r="F25" s="22" t="str">
        <x:v>Chưa kiểm tra</x:v>
      </x:c>
      <x:c r="G25" s="22"/>
      <x:c r="H25" s="22"/>
    </x:row>
    <x:row r="26" ht="80" customHeight="1">
      <x:c r="A26" s="18" t="str">
        <x:v>BG09</x:v>
      </x:c>
      <x:c r="B26" s="19" t="n">
        <x:f>WORKDAY('Tong quan'!$B$5-1,30)</x:f>
        <x:v>46325</x:v>
      </x:c>
      <x:c r="C26" s="18" t="str">
        <x:v>Worklog nhóm</x:v>
      </x:c>
      <x:c r="D26" s="18" t="str">
        <x:v>Ai làm gì, thời gian thực tế, kết quả và liên kết bằng chứng.</x:v>
      </x:c>
      <x:c r="E26" s="18" t="str">
        <x:v>Cả nhóm</x:v>
      </x:c>
      <x:c r="F26" s="22" t="str">
        <x:v>Chưa kiểm tra</x:v>
      </x:c>
      <x:c r="G26" s="22"/>
      <x:c r="H26" s="22"/>
    </x:row>
    <x:row r="27" ht="80" customHeight="1">
      <x:c r="A27" s="18" t="str">
        <x:v>BG10</x:v>
      </x:c>
      <x:c r="B27" s="19" t="n">
        <x:f>WORKDAY('Tong quan'!$B$5-1,29)</x:f>
        <x:v>46324</x:v>
      </x:c>
      <x:c r="C27" s="18" t="str">
        <x:v>Bằng chứng đánh giá</x:v>
      </x:c>
      <x:c r="D27" s="18" t="str">
        <x:v>Bộ ca, đáp án, phiên bản, kết quả từng ca, chỉ số, lỗi và cải tiến; có truy vết yêu cầu.</x:v>
      </x:c>
      <x:c r="E27" s="18" t="str">
        <x:v>BA + Dev1</x:v>
      </x:c>
      <x:c r="F27" s="22" t="str">
        <x:v>Chưa kiểm tra</x:v>
      </x:c>
      <x:c r="G27" s="22"/>
      <x:c r="H27" s="22"/>
    </x:row>
  </x:sheetData>
  <x:dataValidations count="2">
    <x:dataValidation type="list" sqref="F7:F12">
      <x:formula1>"Chưa kiểm tra,Chưa đạt,Đạt"</x:formula1>
    </x:dataValidation>
    <x:dataValidation type="list" sqref="F18:F27">
      <x:formula1>"Chưa kiểm tra,Chưa đạt,Đạt"</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0.630000114440918" hidden="0" customWidth="1"/>
    <x:col min="2" max="2" width="14.380000114440918" hidden="0" customWidth="1"/>
    <x:col min="3" max="3" width="37.5" hidden="0" customWidth="1"/>
    <x:col min="4" max="4" width="36.25" hidden="0" customWidth="1"/>
    <x:col min="5" max="5" width="52.5" hidden="0" customWidth="1"/>
    <x:col min="6" max="6" width="15.630000114440918" hidden="0" customWidth="1"/>
    <x:col min="7" max="7" width="15" hidden="0" customWidth="1"/>
    <x:col min="8" max="8" width="23.1299991607666" hidden="0" customWidth="1"/>
  </x:cols>
  <x:sheetData>
    <x:row r="1" ht="24" customHeight="1">
      <x:c r="A1" s="2"/>
      <x:c r="B1" s="2"/>
      <x:c r="C1" s="2"/>
      <x:c r="D1" s="2"/>
      <x:c r="E1" s="2"/>
      <x:c r="F1" s="2"/>
      <x:c r="G1" s="2"/>
      <x:c r="H1" s="2"/>
    </x:row>
    <x:row r="2" ht="24" customHeight="1">
      <x:c r="A2" s="3" t="str">
        <x:v>Checklist nghiệm thu và cách đo</x:v>
      </x:c>
      <x:c r="B2" s="2"/>
      <x:c r="C2" s="2"/>
      <x:c r="D2" s="2"/>
      <x:c r="E2" s="2"/>
      <x:c r="F2" s="2"/>
      <x:c r="G2" s="2"/>
      <x:c r="H2" s="2"/>
    </x:row>
    <x:row r="3" ht="24" customHeight="1">
      <x:c r="A3" s="4"/>
      <x:c r="B3" s="4"/>
      <x:c r="C3" s="4"/>
      <x:c r="D3" s="4"/>
      <x:c r="E3" s="4"/>
      <x:c r="F3" s="4"/>
      <x:c r="G3" s="4"/>
      <x:c r="H3" s="4"/>
    </x:row>
    <x:row r="4" ht="24" customHeight="1">
      <x:c r="A4" s="2" t="str">
        <x:v>Given = điều kiện trước. When = thao tác. Then = kết quả cần kiểm tra. Đây là đề xuất, chưa có kết quả thực tế.</x:v>
      </x:c>
      <x:c r="B4" s="2"/>
      <x:c r="C4" s="2"/>
      <x:c r="D4" s="2"/>
      <x:c r="E4" s="2"/>
      <x:c r="F4" s="2"/>
      <x:c r="G4" s="2"/>
      <x:c r="H4" s="2"/>
    </x:row>
    <x:row r="5" ht="24" customHeight="1">
      <x:c r="A5" s="2"/>
      <x:c r="B5" s="2"/>
      <x:c r="C5" s="2"/>
      <x:c r="D5" s="2"/>
      <x:c r="E5" s="2"/>
      <x:c r="F5" s="2"/>
      <x:c r="G5" s="2"/>
      <x:c r="H5" s="2"/>
    </x:row>
    <x:row r="6" ht="38" customHeight="1">
      <x:c r="A6" s="11" t="str">
        <x:v>Mã</x:v>
      </x:c>
      <x:c r="B6" s="11" t="str">
        <x:v>Nhóm</x:v>
      </x:c>
      <x:c r="C6" s="11" t="str">
        <x:v>Given — Đã có</x:v>
      </x:c>
      <x:c r="D6" s="11" t="str">
        <x:v>When — Khi</x:v>
      </x:c>
      <x:c r="E6" s="11" t="str">
        <x:v>Then — Phải xảy ra</x:v>
      </x:c>
      <x:c r="F6" s="11" t="str">
        <x:v>Người kiểm tra</x:v>
      </x:c>
      <x:c r="G6" s="11" t="str">
        <x:v>Kết quả</x:v>
      </x:c>
      <x:c r="H6" s="11" t="str">
        <x:v>Bằng chứng</x:v>
      </x:c>
    </x:row>
    <x:row r="7" ht="64" customHeight="1">
      <x:c r="A7" s="18" t="str">
        <x:v>AC01</x:v>
      </x:c>
      <x:c r="B7" s="18" t="str">
        <x:v>Quyền</x:v>
      </x:c>
      <x:c r="C7" s="18" t="str">
        <x:v>Có tài khoản Operator và Approver</x:v>
      </x:c>
      <x:c r="D7" s="18" t="str">
        <x:v>Operator gọi API phê duyệt hoặc tự duyệt run của mình</x:v>
      </x:c>
      <x:c r="E7" s="18" t="str">
        <x:v>Server từ chối; không có thực thi và có nhật ký.</x:v>
      </x:c>
      <x:c r="F7" s="18" t="str">
        <x:v>BA + Dev2</x:v>
      </x:c>
      <x:c r="G7" s="22" t="str">
        <x:v>Chưa chạy</x:v>
      </x:c>
      <x:c r="H7" s="22"/>
    </x:row>
    <x:row r="8" ht="64" customHeight="1">
      <x:c r="A8" s="18" t="str">
        <x:v>AC02</x:v>
      </x:c>
      <x:c r="B8" s="18" t="str">
        <x:v>Phạm vi</x:v>
      </x:c>
      <x:c r="C8" s="18" t="str">
        <x:v>Chỉ lab đã đăng ký được phép</x:v>
      </x:c>
      <x:c r="D8" s="18" t="str">
        <x:v>Nhập mục tiêu ngoài phạm vi hoặc công cụ gặp redirect ngoài phạm vi</x:v>
      </x:c>
      <x:c r="E8" s="18" t="str">
        <x:v>Chặn trước khi gửi yêu cầu tới mục tiêu ngoài phạm vi.</x:v>
      </x:c>
      <x:c r="F8" s="18" t="str">
        <x:v>Dev1 + Dev2</x:v>
      </x:c>
      <x:c r="G8" s="22" t="str">
        <x:v>Chưa chạy</x:v>
      </x:c>
      <x:c r="H8" s="22"/>
    </x:row>
    <x:row r="9" ht="64" customHeight="1">
      <x:c r="A9" s="18" t="str">
        <x:v>AC03</x:v>
      </x:c>
      <x:c r="B9" s="18" t="str">
        <x:v>Luồng chính</x:v>
      </x:c>
      <x:c r="C9" s="18" t="str">
        <x:v>Lab sẵn sàng, phạm vi hợp lệ</x:v>
      </x:c>
      <x:c r="D9" s="18" t="str">
        <x:v>Operator khởi tạo run</x:v>
      </x:c>
      <x:c r="E9" s="18" t="str">
        <x:v>Supervisor gọi đúng agent; UI và kho dữ liệu cùng trạng thái.</x:v>
      </x:c>
      <x:c r="F9" s="18" t="str">
        <x:v>BA</x:v>
      </x:c>
      <x:c r="G9" s="22" t="str">
        <x:v>Chưa chạy</x:v>
      </x:c>
      <x:c r="H9" s="22"/>
    </x:row>
    <x:row r="10" ht="64" customHeight="1">
      <x:c r="A10" s="18" t="str">
        <x:v>AC04</x:v>
      </x:c>
      <x:c r="B10" s="18" t="str">
        <x:v>Bằng chứng</x:v>
      </x:c>
      <x:c r="C10" s="18" t="str">
        <x:v>Recon/Fuzzing có kết quả từ công cụ</x:v>
      </x:c>
      <x:c r="D10" s="18" t="str">
        <x:v>Xem một phát hiện</x:v>
      </x:c>
      <x:c r="E10" s="18" t="str">
        <x:v>Có run ID, nguồn, thời gian, mục tiêu và evidence ID đối chiếu được.</x:v>
      </x:c>
      <x:c r="F10" s="18" t="str">
        <x:v>BA + Dev1</x:v>
      </x:c>
      <x:c r="G10" s="22" t="str">
        <x:v>Chưa chạy</x:v>
      </x:c>
      <x:c r="H10" s="22"/>
    </x:row>
    <x:row r="11" ht="64" customHeight="1">
      <x:c r="A11" s="18" t="str">
        <x:v>AC05</x:v>
      </x:c>
      <x:c r="B11" s="18" t="str">
        <x:v>HITL chờ</x:v>
      </x:c>
      <x:c r="C11" s="18" t="str">
        <x:v>Bước có rủi ro vừa được đề xuất</x:v>
      </x:c>
      <x:c r="D11" s="18" t="str">
        <x:v>Chưa có phê duyệt hợp lệ</x:v>
      </x:c>
      <x:c r="E11" s="18" t="str">
        <x:v>Run/bước chờ; không gọi công cụ rủi ro. Kiểm tra tại lớp thực thi.</x:v>
      </x:c>
      <x:c r="F11" s="18" t="str">
        <x:v>Dev1 + BA</x:v>
      </x:c>
      <x:c r="G11" s="22" t="str">
        <x:v>Chưa chạy</x:v>
      </x:c>
      <x:c r="H11" s="22"/>
    </x:row>
    <x:row r="12" ht="64" customHeight="1">
      <x:c r="A12" s="18" t="str">
        <x:v>AC06</x:v>
      </x:c>
      <x:c r="B12" s="18" t="str">
        <x:v>HITL duyệt</x:v>
      </x:c>
      <x:c r="C12" s="18" t="str">
        <x:v>Approver đúng quyền và yêu cầu còn hiệu lực</x:v>
      </x:c>
      <x:c r="D12" s="18" t="str">
        <x:v>Duyệt đúng hành động và tham số</x:v>
      </x:c>
      <x:c r="E12" s="18" t="str">
        <x:v>Chỉ hành động đó tiếp tục trong phạm vi; lưu người và thời điểm duyệt.</x:v>
      </x:c>
      <x:c r="F12" s="18" t="str">
        <x:v>BA</x:v>
      </x:c>
      <x:c r="G12" s="22" t="str">
        <x:v>Chưa chạy</x:v>
      </x:c>
      <x:c r="H12" s="22"/>
    </x:row>
    <x:row r="13" ht="64" customHeight="1">
      <x:c r="A13" s="18" t="str">
        <x:v>AC07</x:v>
      </x:c>
      <x:c r="B13" s="18" t="str">
        <x:v>Từ chối/hết hạn</x:v>
      </x:c>
      <x:c r="C13" s="18" t="str">
        <x:v>Một yêu cầu đang chờ</x:v>
      </x:c>
      <x:c r="D13" s="18" t="str">
        <x:v>Bị từ chối hoặc hết thời hạn</x:v>
      </x:c>
      <x:c r="E13" s="18" t="str">
        <x:v>Không thực thi; bỏ qua/dừng theo quy tắc; báo cáo nêu bước chưa kiểm chứng.</x:v>
      </x:c>
      <x:c r="F13" s="18" t="str">
        <x:v>BA</x:v>
      </x:c>
      <x:c r="G13" s="22" t="str">
        <x:v>Chưa chạy</x:v>
      </x:c>
      <x:c r="H13" s="22"/>
    </x:row>
    <x:row r="14" ht="64" customHeight="1">
      <x:c r="A14" s="18" t="str">
        <x:v>AC08</x:v>
      </x:c>
      <x:c r="B14" s="18" t="str">
        <x:v>Thay đổi/lặp</x:v>
      </x:c>
      <x:c r="C14" s="18" t="str">
        <x:v>Hành động đã được duyệt</x:v>
      </x:c>
      <x:c r="D14" s="18" t="str">
        <x:v>Đổi mục tiêu/tham số hoặc nhận callback lặp</x:v>
      </x:c>
      <x:c r="E14" s="18" t="str">
        <x:v>Thay đổi cần duyệt lại; sự kiện lặp không làm thực thi hai lần.</x:v>
      </x:c>
      <x:c r="F14" s="18" t="str">
        <x:v>Dev1 + Dev2</x:v>
      </x:c>
      <x:c r="G14" s="22" t="str">
        <x:v>Chưa chạy</x:v>
      </x:c>
      <x:c r="H14" s="22"/>
    </x:row>
    <x:row r="15" ht="64" customHeight="1">
      <x:c r="A15" s="18" t="str">
        <x:v>AC09</x:v>
      </x:c>
      <x:c r="B15" s="18" t="str">
        <x:v>Lỗi kênh</x:v>
      </x:c>
      <x:c r="C15" s="18" t="str">
        <x:v>Đang gửi yêu cầu tới Slack/Teams</x:v>
      </x:c>
      <x:c r="D15" s="18" t="str">
        <x:v>Kênh lỗi hoặc trả kết quả không xác thực được</x:v>
      </x:c>
      <x:c r="E15" s="18" t="str">
        <x:v>Giữ chờ/thất bại rõ; không coi lỗi gửi là được duyệt.</x:v>
      </x:c>
      <x:c r="F15" s="18" t="str">
        <x:v>BA + Dev2</x:v>
      </x:c>
      <x:c r="G15" s="22" t="str">
        <x:v>Chưa chạy</x:v>
      </x:c>
      <x:c r="H15" s="22"/>
    </x:row>
    <x:row r="16" ht="64" customHeight="1">
      <x:c r="A16" s="18" t="str">
        <x:v>AC10</x:v>
      </x:c>
      <x:c r="B16" s="18" t="str">
        <x:v>Khôi phục</x:v>
      </x:c>
      <x:c r="C16" s="18" t="str">
        <x:v>Run đang chờ duyệt hoặc đã chạy một bước</x:v>
      </x:c>
      <x:c r="D16" s="18" t="str">
        <x:v>Khởi động lại/khôi phục dữ liệu</x:v>
      </x:c>
      <x:c r="E16" s="18" t="str">
        <x:v>Giữ trạng thái và bằng chứng; không tự bỏ qua cổng hoặc lặp bước rủi ro.</x:v>
      </x:c>
      <x:c r="F16" s="18" t="str">
        <x:v>2 Dev</x:v>
      </x:c>
      <x:c r="G16" s="22" t="str">
        <x:v>Chưa chạy</x:v>
      </x:c>
      <x:c r="H16" s="22"/>
    </x:row>
    <x:row r="17" ht="64" customHeight="1">
      <x:c r="A17" s="18" t="str">
        <x:v>AC11</x:v>
      </x:c>
      <x:c r="B17" s="18" t="str">
        <x:v>Agent/tool lỗi</x:v>
      </x:c>
      <x:c r="C17" s="18" t="str">
        <x:v>Một agent đang chạy</x:v>
      </x:c>
      <x:c r="D17" s="18" t="str">
        <x:v>Công cụ timeout hoặc dịch vụ lỗi</x:v>
      </x:c>
      <x:c r="E17" s="18" t="str">
        <x:v>Retry trong giới hạn nếu được phép; kết thúc một phần/thất bại rõ, giữ bằng chứng đã có.</x:v>
      </x:c>
      <x:c r="F17" s="18" t="str">
        <x:v>BA + Dev1</x:v>
      </x:c>
      <x:c r="G17" s="22" t="str">
        <x:v>Chưa chạy</x:v>
      </x:c>
      <x:c r="H17" s="22"/>
    </x:row>
    <x:row r="18" ht="64" customHeight="1">
      <x:c r="A18" s="18" t="str">
        <x:v>AC12</x:v>
      </x:c>
      <x:c r="B18" s="18" t="str">
        <x:v>Dữ liệu độc hại</x:v>
      </x:c>
      <x:c r="C18" s="18" t="str">
        <x:v>Mục tiêu trả nội dung cố ra lệnh cho AI</x:v>
      </x:c>
      <x:c r="D18" s="18" t="str">
        <x:v>Agent đọc nội dung đó</x:v>
      </x:c>
      <x:c r="E18" s="18" t="str">
        <x:v>Nội dung không tăng quyền, đổi mục tiêu hay vượt bước phê duyệt.</x:v>
      </x:c>
      <x:c r="F18" s="18" t="str">
        <x:v>Dev1 + BA</x:v>
      </x:c>
      <x:c r="G18" s="22" t="str">
        <x:v>Chưa chạy</x:v>
      </x:c>
      <x:c r="H18" s="22"/>
    </x:row>
    <x:row r="19" ht="64" customHeight="1">
      <x:c r="A19" s="18" t="str">
        <x:v>AC13</x:v>
      </x:c>
      <x:c r="B19" s="18" t="str">
        <x:v>Kết luận</x:v>
      </x:c>
      <x:c r="C19" s="18" t="str">
        <x:v>Hai agent mâu thuẫn hoặc bằng chứng thiếu</x:v>
      </x:c>
      <x:c r="D19" s="18" t="str">
        <x:v>Hệ thống tổng hợp báo cáo</x:v>
      </x:c>
      <x:c r="E19" s="18" t="str">
        <x:v>Đánh dấu chưa xác minh/mâu thuẫn; không khẳng định lỗ hổng không có bằng chứng.</x:v>
      </x:c>
      <x:c r="F19" s="18" t="str">
        <x:v>BA</x:v>
      </x:c>
      <x:c r="G19" s="22" t="str">
        <x:v>Chưa chạy</x:v>
      </x:c>
      <x:c r="H19" s="22"/>
    </x:row>
    <x:row r="20" ht="64" customHeight="1">
      <x:c r="A20" s="18" t="str">
        <x:v>AC14</x:v>
      </x:c>
      <x:c r="B20" s="18" t="str">
        <x:v>Không phát hiện</x:v>
      </x:c>
      <x:c r="C20" s="18" t="str">
        <x:v>Run không có phát hiện hoặc bị gián đoạn</x:v>
      </x:c>
      <x:c r="D20" s="18" t="str">
        <x:v>Xuất báo cáo</x:v>
      </x:c>
      <x:c r="E20" s="18" t="str">
        <x:v>Nêu phạm vi đã kiểm tra và giới hạn; không kết luận hệ thống hoàn toàn an toàn.</x:v>
      </x:c>
      <x:c r="F20" s="18" t="str">
        <x:v>BA + PM</x:v>
      </x:c>
      <x:c r="G20" s="22" t="str">
        <x:v>Chưa chạy</x:v>
      </x:c>
      <x:c r="H20" s="22"/>
    </x:row>
    <x:row r="21" ht="64" customHeight="1">
      <x:c r="A21" s="18" t="str">
        <x:v>AC15</x:v>
      </x:c>
      <x:c r="B21" s="18" t="str">
        <x:v>Giới hạn/dừng</x:v>
      </x:c>
      <x:c r="C21" s="18" t="str">
        <x:v>Run gần hạn số bước/thời gian hoặc bị hủy</x:v>
      </x:c>
      <x:c r="D21" s="18" t="str">
        <x:v>Chạm hạn hoặc Operator dừng</x:v>
      </x:c>
      <x:c r="E21" s="18" t="str">
        <x:v>Không phát sinh thêm hành động không được phép; trạng thái cuối và lý do được lưu.</x:v>
      </x:c>
      <x:c r="F21" s="18" t="str">
        <x:v>2 Dev + BA</x:v>
      </x:c>
      <x:c r="G21" s="22" t="str">
        <x:v>Chưa chạy</x:v>
      </x:c>
      <x:c r="H21" s="22"/>
    </x:row>
    <x:row r="22" ht="64" customHeight="1">
      <x:c r="A22" s="18" t="str">
        <x:v>AC16</x:v>
      </x:c>
      <x:c r="B22" s="18" t="str">
        <x:v>Báo cáo</x:v>
      </x:c>
      <x:c r="C22" s="18" t="str">
        <x:v>Run có kết quả và bằng chứng</x:v>
      </x:c>
      <x:c r="D22" s="18" t="str">
        <x:v>Người được phép xem/tải báo cáo</x:v>
      </x:c>
      <x:c r="E22" s="18" t="str">
        <x:v>Nội dung tải khớp run; người không có quyền bị từ chối; không lộ khóa.</x:v>
      </x:c>
      <x:c r="F22" s="18" t="str">
        <x:v>BA + Dev2</x:v>
      </x:c>
      <x:c r="G22" s="22" t="str">
        <x:v>Chưa chạy</x:v>
      </x:c>
      <x:c r="H22" s="22"/>
    </x:row>
    <x:row r="23" ht="64" customHeight="1">
      <x:c r="A23" s="18" t="str">
        <x:v>AC17</x:v>
      </x:c>
      <x:c r="B23" s="18" t="str">
        <x:v>Đánh giá AI</x:v>
      </x:c>
      <x:c r="C23" s="18" t="str">
        <x:v>Bộ ca có nhãn và phiên bản cấu hình cố định</x:v>
      </x:c>
      <x:c r="D23" s="18" t="str">
        <x:v>Chạy đánh giá</x:v>
      </x:c>
      <x:c r="E23" s="18" t="str">
        <x:v>Lưu từng kết quả, số ca, mẫu số và thất bại. Không trình bày dữ liệu mô phỏng như thành tích kiểm thử thực tế.</x:v>
      </x:c>
      <x:c r="F23" s="18" t="str">
        <x:v>BA + Dev1</x:v>
      </x:c>
      <x:c r="G23" s="22" t="str">
        <x:v>Chưa chạy</x:v>
      </x:c>
      <x:c r="H23" s="22"/>
    </x:row>
    <x:row r="24" ht="64" customHeight="1">
      <x:c r="A24" s="18" t="str">
        <x:v>AC18</x:v>
      </x:c>
      <x:c r="B24" s="18" t="str">
        <x:v>Bàn giao</x:v>
      </x:c>
      <x:c r="C24" s="18" t="str">
        <x:v>Bản ứng viên đã nghiệm thu</x:v>
      </x:c>
      <x:c r="D24" s="18" t="str">
        <x:v>Thành viên khác mở URL và làm theo hướng dẫn</x:v>
      </x:c>
      <x:c r="E24" s="18" t="str">
        <x:v>Đăng nhập hai vai trò, chạy ca được hỗ trợ và mở báo cáo; biết cách dừng/khôi phục.</x:v>
      </x:c>
      <x:c r="F24" s="18" t="str">
        <x:v>PM + BA</x:v>
      </x:c>
      <x:c r="G24" s="22" t="str">
        <x:v>Chưa chạy</x:v>
      </x:c>
      <x:c r="H24" s="22"/>
    </x:row>
    <x:row r="25" ht="24" customHeight="1">
      <x:c r="A25" s="2"/>
      <x:c r="B25" s="2"/>
      <x:c r="C25" s="2"/>
      <x:c r="D25" s="2"/>
      <x:c r="E25" s="2"/>
      <x:c r="F25" s="2"/>
      <x:c r="G25" s="2"/>
      <x:c r="H25" s="2"/>
    </x:row>
    <x:row r="26" ht="24" customHeight="1">
      <x:c r="A26" s="2"/>
      <x:c r="B26" s="2"/>
      <x:c r="C26" s="2"/>
      <x:c r="D26" s="2"/>
      <x:c r="E26" s="2"/>
      <x:c r="F26" s="2"/>
      <x:c r="G26" s="2"/>
      <x:c r="H26" s="2"/>
    </x:row>
    <x:row r="27" ht="24" customHeight="1">
      <x:c r="A27" s="2" t="str">
        <x:v>Chỉ số đánh giá: BA định nghĩa và Dev1 xuất dữ liệu. Không có số đo sẵn trong kế hoạch.</x:v>
      </x:c>
      <x:c r="B27" s="2"/>
      <x:c r="C27" s="2"/>
      <x:c r="D27" s="2"/>
      <x:c r="E27" s="2"/>
      <x:c r="F27" s="2"/>
      <x:c r="G27" s="2"/>
      <x:c r="H27" s="2"/>
    </x:row>
    <x:row r="28" ht="24" customHeight="1">
      <x:c r="A28" s="2"/>
      <x:c r="B28" s="2"/>
      <x:c r="C28" s="2"/>
      <x:c r="D28" s="2"/>
      <x:c r="E28" s="2"/>
      <x:c r="F28" s="2"/>
      <x:c r="G28" s="2"/>
      <x:c r="H28" s="2"/>
    </x:row>
    <x:row r="29" ht="38" customHeight="1">
      <x:c r="A29" s="11" t="str">
        <x:v>Mã</x:v>
      </x:c>
      <x:c r="B29" s="11" t="str">
        <x:v>Chỉ số</x:v>
      </x:c>
      <x:c r="C29" s="11" t="str">
        <x:v>Cách tính / ghi nhận</x:v>
      </x:c>
      <x:c r="D29" s="11" t="str">
        <x:v>Phạm vi</x:v>
      </x:c>
      <x:c r="E29" s="11" t="str">
        <x:v>Ngưỡng / cách dùng</x:v>
      </x:c>
      <x:c r="F29" s="11" t="str">
        <x:v>Chủ trì</x:v>
      </x:c>
      <x:c r="G29" s="2"/>
      <x:c r="H29" s="2"/>
    </x:row>
    <x:row r="30" ht="86" customHeight="1">
      <x:c r="A30" s="18" t="str">
        <x:v>M01</x:v>
      </x:c>
      <x:c r="B30" s="18" t="str">
        <x:v>Precision</x:v>
      </x:c>
      <x:c r="C30" s="18" t="str">
        <x:v>TP / (TP + FP). TP: phát hiện khớp nhãn; FP: phát hiện sai.</x:v>
      </x:c>
      <x:c r="D30" s="18" t="str">
        <x:v>Chỉ ca/đơn vị phát hiện có nhãn nhất quán.</x:v>
      </x:c>
      <x:c r="E30" s="18" t="str">
        <x:v>PM/BA chốt ngưỡng tại G3 trước holdout. Mẫu số 0 ghi không áp dụng.</x:v>
      </x:c>
      <x:c r="F30" s="18" t="str">
        <x:v>BA + Dev1</x:v>
      </x:c>
      <x:c r="G30" s="2"/>
      <x:c r="H30" s="2"/>
    </x:row>
    <x:row r="31" ht="86" customHeight="1">
      <x:c r="A31" s="18" t="str">
        <x:v>M02</x:v>
      </x:c>
      <x:c r="B31" s="18" t="str">
        <x:v>Recall</x:v>
      </x:c>
      <x:c r="C31" s="18" t="str">
        <x:v>TP / (TP + FN). FN: phát hiện kỳ vọng nhưng bị bỏ sót.</x:v>
      </x:c>
      <x:c r="D31" s="18" t="str">
        <x:v>Cùng loại lỗ hổng, mục tiêu và cách gán nhãn.</x:v>
      </x:c>
      <x:c r="E31" s="18" t="str">
        <x:v>PM/BA chốt tại G3; không cộng ca kiểm thử HITL vào mẫu số.</x:v>
      </x:c>
      <x:c r="F31" s="18" t="str">
        <x:v>BA + Dev1</x:v>
      </x:c>
      <x:c r="G31" s="2"/>
      <x:c r="H31" s="2"/>
    </x:row>
    <x:row r="32" ht="86" customHeight="1">
      <x:c r="A32" s="18" t="str">
        <x:v>M03</x:v>
      </x:c>
      <x:c r="B32" s="18" t="str">
        <x:v>Báo động sai</x:v>
      </x:c>
      <x:c r="C32" s="18" t="str">
        <x:v>FP / (FP + TN). TN: ca sạch được nhận đúng.</x:v>
      </x:c>
      <x:c r="D32" s="18" t="str">
        <x:v>Đơn vị phân loại dương/âm thống nhất từ BA04.</x:v>
      </x:c>
      <x:c r="E32" s="18" t="str">
        <x:v>Nếu đo theo finding, phải thống nhất TN trước; không thay bằng 1 - precision.</x:v>
      </x:c>
      <x:c r="F32" s="18" t="str">
        <x:v>BA + Dev1</x:v>
      </x:c>
      <x:c r="G32" s="2"/>
      <x:c r="H32" s="2"/>
    </x:row>
    <x:row r="33" ht="86" customHeight="1">
      <x:c r="A33" s="18" t="str">
        <x:v>M04</x:v>
      </x:c>
      <x:c r="B33" s="18" t="str">
        <x:v>Có bằng chứng</x:v>
      </x:c>
      <x:c r="C33" s="18" t="str">
        <x:v>Số kết luận đã xác minh có evidence đối chiếu được / tổng kết luận đã xác minh.</x:v>
      </x:c>
      <x:c r="D33" s="18" t="str">
        <x:v>Mỗi kết luận đã xác minh trong báo cáo.</x:v>
      </x:c>
      <x:c r="E33" s="18" t="str">
        <x:v>Đề xuất 100%; kết luận thiếu bằng chứng phải hạ mức xác minh.</x:v>
      </x:c>
      <x:c r="F33" s="18" t="str">
        <x:v>BA</x:v>
      </x:c>
      <x:c r="G33" s="2"/>
      <x:c r="H33" s="2"/>
    </x:row>
    <x:row r="34" ht="86" customHeight="1">
      <x:c r="A34" s="18" t="str">
        <x:v>M05</x:v>
      </x:c>
      <x:c r="B34" s="18" t="str">
        <x:v>Vượt quyền/HITL</x:v>
      </x:c>
      <x:c r="C34" s="18" t="str">
        <x:v>Số ca thực thi ngoài phạm vi hoặc thiếu phê duyệt hợp lệ.</x:v>
      </x:c>
      <x:c r="D34" s="18" t="str">
        <x:v>Toàn bộ ca an toàn bắt buộc.</x:v>
      </x:c>
      <x:c r="E34" s="18" t="str">
        <x:v>Đề xuất 0 vi phạm; mọi ca an toàn bắt buộc phải đạt trước G4.</x:v>
      </x:c>
      <x:c r="F34" s="18" t="str">
        <x:v>2 Dev + BA</x:v>
      </x:c>
      <x:c r="G34" s="2"/>
      <x:c r="H34" s="2"/>
    </x:row>
    <x:row r="35" ht="86" customHeight="1">
      <x:c r="A35" s="18" t="str">
        <x:v>M06</x:v>
      </x:c>
      <x:c r="B35" s="18" t="str">
        <x:v>Thời gian chạy</x:v>
      </x:c>
      <x:c r="C35" s="18" t="str">
        <x:v>Ghi thời điểm bắt đầu, kết thúc, thời gian chờ duyệt và xử lý riêng.</x:v>
      </x:c>
      <x:c r="D35" s="18" t="str">
        <x:v>Cùng lab, cấu hình, phiên bản; ghi số lượt đo.</x:v>
      </x:c>
      <x:c r="E35" s="18" t="str">
        <x:v>Theo dõi trung vị/p95 khi đủ lượt; không đưa ngưỡng hiệu năng chưa đo.</x:v>
      </x:c>
      <x:c r="F35" s="18" t="str">
        <x:v>Dev1 + Dev2</x:v>
      </x:c>
      <x:c r="G35" s="2"/>
      <x:c r="H35" s="2"/>
    </x:row>
    <x:row r="36" ht="86" customHeight="1">
      <x:c r="A36" s="18" t="str">
        <x:v>M07</x:v>
      </x:c>
      <x:c r="B36" s="18" t="str">
        <x:v>Chi phí/run</x:v>
      </x:c>
      <x:c r="C36" s="18" t="str">
        <x:v>Tổng chi phí có nguồn đo cho từng run; ghi nguồn và hạng mục chưa đo.</x:v>
      </x:c>
      <x:c r="D36" s="18" t="str">
        <x:v>Không gán chi phí chưa biết bằng 0.</x:v>
      </x:c>
      <x:c r="E36" s="18" t="str">
        <x:v>PM chốt ngân sách thử ở tuần 1, rà theo số đo mỗi tuần.</x:v>
      </x:c>
      <x:c r="F36" s="18" t="str">
        <x:v>Dev1 + PM</x:v>
      </x:c>
      <x:c r="G36" s="2"/>
      <x:c r="H36" s="2"/>
    </x:row>
    <x:row r="37" ht="86" customHeight="1">
      <x:c r="A37" s="18" t="str">
        <x:v>M08</x:v>
      </x:c>
      <x:c r="B37" s="18" t="str">
        <x:v>Hoàn tất/hồi phục</x:v>
      </x:c>
      <x:c r="C37" s="18" t="str">
        <x:v>Đếm run hoàn tất, một phần, lỗi; run phục hồi thành công / run được thử phục hồi.</x:v>
      </x:c>
      <x:c r="D37" s="18" t="str">
        <x:v>Tách lỗi kỹ thuật với từ chối hợp lệ của Approver.</x:v>
      </x:c>
      <x:c r="E37" s="18" t="str">
        <x:v>Không coi bỏ qua do từ chối là lỗi hệ thống; ghi rõ các loại kết quả.</x:v>
      </x:c>
      <x:c r="F37" s="18" t="str">
        <x:v>BA + 2 Dev</x:v>
      </x:c>
      <x:c r="G37" s="2"/>
      <x:c r="H37" s="2"/>
    </x:row>
    <x:row r="38" ht="24" customHeight="1">
      <x:c r="A38" s="2"/>
      <x:c r="B38" s="2"/>
      <x:c r="C38" s="2"/>
      <x:c r="D38" s="2"/>
      <x:c r="E38" s="2"/>
      <x:c r="F38" s="2"/>
      <x:c r="G38" s="2"/>
      <x:c r="H38" s="2"/>
    </x:row>
    <x:row r="39" ht="24" customHeight="1">
      <x:c r="A39" s="2"/>
      <x:c r="B39" s="2"/>
      <x:c r="C39" s="2"/>
      <x:c r="D39" s="2"/>
      <x:c r="E39" s="2"/>
      <x:c r="F39" s="2"/>
      <x:c r="G39" s="2"/>
      <x:c r="H39" s="2"/>
    </x:row>
    <x:row r="40" ht="24" customHeight="1">
      <x:c r="A40" s="2" t="str">
        <x:v>24 ca eval là tập minh họa đề xuất; checklist trên và các test kỹ thuật bổ sung có thể dùng nhiều lượt hơn.</x:v>
      </x:c>
      <x:c r="B40" s="2"/>
      <x:c r="C40" s="2"/>
      <x:c r="D40" s="2"/>
      <x:c r="E40" s="2"/>
      <x:c r="F40" s="2"/>
      <x:c r="G40" s="2"/>
      <x:c r="H40" s="2"/>
    </x:row>
    <x:row r="41" ht="24" customHeight="1">
      <x:c r="A41" s="2" t="str">
        <x:v>Không dùng holdout để chỉnh rồi báo lại như đánh giá độc lập. Công bố giới hạn và lịch sử thay đổi phiên bản.</x:v>
      </x:c>
      <x:c r="B41" s="2"/>
      <x:c r="C41" s="2"/>
      <x:c r="D41" s="2"/>
      <x:c r="E41" s="2"/>
      <x:c r="F41" s="2"/>
      <x:c r="G41" s="2"/>
      <x:c r="H41" s="2"/>
    </x:row>
  </x:sheetData>
  <x:dataValidations count="1">
    <x:dataValidation type="list" sqref="G7:G24">
      <x:formula1>"Chưa chạy,Đạt,Chưa đạt,Bị chặn"</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18.1299991607666" hidden="0" customWidth="1"/>
    <x:col min="3" max="3" width="19.3799991607666" hidden="0" customWidth="1"/>
    <x:col min="4" max="4" width="47.5" hidden="0" customWidth="1"/>
    <x:col min="5" max="5" width="43.130001068115234" hidden="0" customWidth="1"/>
    <x:col min="6" max="6" width="42.5" hidden="0" customWidth="1"/>
    <x:col min="7" max="7" width="22.5" hidden="0" customWidth="1"/>
    <x:col min="8" max="8" width="38.75" hidden="0" customWidth="1"/>
  </x:cols>
  <x:sheetData>
    <x:row r="1" ht="24" customHeight="1">
      <x:c r="A1" s="1"/>
      <x:c r="B1" s="1"/>
      <x:c r="C1" s="1"/>
      <x:c r="D1" s="1"/>
      <x:c r="E1" s="1"/>
      <x:c r="F1" s="1"/>
      <x:c r="G1" s="1"/>
      <x:c r="H1" s="1"/>
    </x:row>
    <x:row r="2" ht="24" customHeight="1">
      <x:c r="A2" s="38" t="str">
        <x:v>P-077 | Hiện trạng được đối chiếu ngày 18/09/2026</x:v>
      </x:c>
      <x:c r="B2" s="1"/>
      <x:c r="C2" s="1"/>
      <x:c r="D2" s="1"/>
      <x:c r="E2" s="1"/>
      <x:c r="F2" s="1"/>
      <x:c r="G2" s="1"/>
      <x:c r="H2" s="1"/>
    </x:row>
    <x:row r="3" ht="24" customHeight="1">
      <x:c r="A3" s="1"/>
      <x:c r="B3" s="1"/>
      <x:c r="C3" s="1"/>
      <x:c r="D3" s="1"/>
      <x:c r="E3" s="1"/>
      <x:c r="F3" s="1"/>
      <x:c r="G3" s="1"/>
      <x:c r="H3" s="1"/>
    </x:row>
    <x:row r="4" ht="24" customHeight="1">
      <x:c r="A4" s="1" t="str">
        <x:v>Nguồn: mã và tài liệu trong D:/P-077; lịch sử hiện có một commit nền bea1ab4 ngày 11/09/2026. Đã giữ nguyên mã nguồn.</x:v>
      </x:c>
      <x:c r="B4" s="1"/>
      <x:c r="C4" s="1"/>
      <x:c r="D4" s="1"/>
      <x:c r="E4" s="1"/>
      <x:c r="F4" s="1"/>
      <x:c r="G4" s="1"/>
      <x:c r="H4" s="1"/>
    </x:row>
    <x:row r="5" ht="24" customHeight="1">
      <x:c r="A5" s="1" t="str">
        <x:v>Đã chạy test, lint và API trong tiến trình local. Chưa gọi LLM thật, chưa thử cloud/Docker, chưa chạy pentest vào mục tiêu.</x:v>
      </x:c>
      <x:c r="B5" s="1"/>
      <x:c r="C5" s="1"/>
      <x:c r="D5" s="1"/>
      <x:c r="E5" s="1"/>
      <x:c r="F5" s="1"/>
      <x:c r="G5" s="1"/>
      <x:c r="H5" s="1"/>
    </x:row>
    <x:row r="6" ht="24" customHeight="1">
      <x:c r="A6" s="1"/>
      <x:c r="B6" s="1"/>
      <x:c r="C6" s="1"/>
      <x:c r="D6" s="1"/>
      <x:c r="E6" s="1"/>
      <x:c r="F6" s="1"/>
      <x:c r="G6" s="1"/>
      <x:c r="H6" s="1"/>
    </x:row>
    <x:row r="7" ht="38" customHeight="1">
      <x:c r="A7" s="32" t="str">
        <x:v>Mã</x:v>
      </x:c>
      <x:c r="B7" s="32" t="str">
        <x:v>Hạng mục</x:v>
      </x:c>
      <x:c r="C7" s="32" t="str">
        <x:v>Hiện trạng</x:v>
      </x:c>
      <x:c r="D7" s="32" t="str">
        <x:v>Dữ kiện đã thấy / đo</x:v>
      </x:c>
      <x:c r="E7" s="32" t="str">
        <x:v>Bằng chứng trong repo</x:v>
      </x:c>
      <x:c r="F7" s="32" t="str">
        <x:v>Tác động tới kế hoạch</x:v>
      </x:c>
      <x:c r="G7" s="32" t="str">
        <x:v>Việc liên quan</x:v>
      </x:c>
      <x:c r="H7" s="32" t="str">
        <x:v>Giới hạn xác nhận</x:v>
      </x:c>
    </x:row>
    <x:row r="8" ht="90" customHeight="1">
      <x:c r="A8" s="18" t="str">
        <x:v>HT01</x:v>
      </x:c>
      <x:c r="B8" s="18" t="str">
        <x:v>Nền API</x:v>
      </x:c>
      <x:c r="C8" s="35" t="str">
        <x:v>Đã chạy nội bộ</x:v>
      </x:c>
      <x:c r="D8" s="18" t="str">
        <x:v>FastAPI có /health, /api/v1/status và /api/v1/chat. Health/status/chat trả 200 trong kiểm tra nội bộ.</x:v>
      </x:c>
      <x:c r="E8" s="18" t="str">
        <x:v>src/main.py; src/api/routes.py; audit-runtime.json</x:v>
      </x:c>
      <x:c r="F8" s="18" t="str">
        <x:v>Tận dụng nền API; viết thêm API run/approval/report.</x:v>
      </x:c>
      <x:c r="G8" s="18" t="str">
        <x:v>D101, D202, D204</x:v>
      </x:c>
      <x:c r="H8" s="18" t="str">
        <x:v>Không xác nhận URL online từ kiểm tra này.</x:v>
      </x:c>
    </x:row>
    <x:row r="9" ht="90" customHeight="1">
      <x:c r="A9" s="18" t="str">
        <x:v>HT02</x:v>
      </x:c>
      <x:c r="B9" s="18" t="str">
        <x:v>Agent/LLM</x:v>
      </x:c>
      <x:c r="C9" s="35" t="str">
        <x:v>Mã mẫu đã xác nhận</x:v>
      </x:c>
      <x:c r="D9" s="18" t="str">
        <x:v>Graph chỉ có analyze/respond; chat ghép chuỗi, get_llm_calls = 0. Có hàm ChatOpenAI nhưng chưa được node dùng.</x:v>
      </x:c>
      <x:c r="E9" s="18" t="str">
        <x:v>src/agents/graph.py:18–19; nodes/example_node.py; services/llm.py</x:v>
      </x:c>
      <x:c r="F9" s="18" t="str">
        <x:v>Nối LLM thật có đầu ra cấu trúc, kiểm thử lỗi và giữ giới hạn.</x:v>
      </x:c>
      <x:c r="G9" s="18" t="str">
        <x:v>D101–D103</x:v>
      </x:c>
      <x:c r="H9" s="18" t="str">
        <x:v>Không coi chat 200 là agent dùng LLM.</x:v>
      </x:c>
    </x:row>
    <x:row r="10" ht="90" customHeight="1">
      <x:c r="A10" s="18" t="str">
        <x:v>HT03</x:v>
      </x:c>
      <x:c r="B10" s="18" t="str">
        <x:v>Cấu hình của nhóm</x:v>
      </x:c>
      <x:c r="C10" s="35" t="str">
        <x:v>Có sửa đổi cục bộ</x:v>
      </x:c>
      <x:c r="D10" s="18" t="str">
        <x:v>config.py thêm openai_base_url; llm.py truyền base_url vào ChatOpenAI. Hai thay đổi chưa commit tại lúc rà.</x:v>
      </x:c>
      <x:c r="E10" s="18" t="str">
        <x:v>git diff; src/config.py:25; src/services/llm.py:11</x:v>
      </x:c>
      <x:c r="F10" s="18" t="str">
        <x:v>Giữ và kiểm tra lại khi nối LLM; không ghi đè về template.</x:v>
      </x:c>
      <x:c r="G10" s="18" t="str">
        <x:v>D101, D216</x:v>
      </x:c>
      <x:c r="H10" s="18" t="str">
        <x:v>Không đọc giá trị bí mật trong .env.</x:v>
      </x:c>
    </x:row>
    <x:row r="11" ht="90" customHeight="1">
      <x:c r="A11" s="18" t="str">
        <x:v>HT04</x:v>
      </x:c>
      <x:c r="B11" s="18" t="str">
        <x:v>Supervisor/3 agent</x:v>
      </x:c>
      <x:c r="C11" s="35" t="str">
        <x:v>Chưa triển khai</x:v>
      </x:c>
      <x:c r="D11" s="18" t="str">
        <x:v>Không có Supervisor, Recon, Fuzzing hoặc Exploit trong mã hiện tại.</x:v>
      </x:c>
      <x:c r="E11" s="18" t="str">
        <x:v>src/agents/graph.py; src/agents/nodes/</x:v>
      </x:c>
      <x:c r="F11" s="18" t="str">
        <x:v>Bổ sung điều phối và từng agent trên phạm vi lab nhỏ.</x:v>
      </x:c>
      <x:c r="G11" s="18" t="str">
        <x:v>D102–D109</x:v>
      </x:c>
      <x:c r="H11" s="18" t="str">
        <x:v>Đây là chức năng cần làm mới.</x:v>
      </x:c>
    </x:row>
    <x:row r="12" ht="90" customHeight="1">
      <x:c r="A12" s="18" t="str">
        <x:v>HT05</x:v>
      </x:c>
      <x:c r="B12" s="18" t="str">
        <x:v>Tool use</x:v>
      </x:c>
      <x:c r="C12" s="35" t="str">
        <x:v>Công cụ ví dụ</x:v>
      </x:c>
      <x:c r="D12" s="18" t="str">
        <x:v>search_knowledge trả chuỗi mẫu, calculate là công cụ tính toán; graph không gọi hai tool này.</x:v>
      </x:c>
      <x:c r="E12" s="18" t="str">
        <x:v>src/agents/tools/example_tool.py; graph.py</x:v>
      </x:c>
      <x:c r="F12" s="18" t="str">
        <x:v>Tạo công cụ lab hữu hạn, phân quyền và gắn vào graph.</x:v>
      </x:c>
      <x:c r="G12" s="18" t="str">
        <x:v>D103, D105, D107</x:v>
      </x:c>
      <x:c r="H12" s="18" t="str">
        <x:v>Không có hoạt động khảo sát/pentest thật trong đợt audit.</x:v>
      </x:c>
    </x:row>
    <x:row r="13" ht="90" customHeight="1">
      <x:c r="A13" s="18" t="str">
        <x:v>HT06</x:v>
      </x:c>
      <x:c r="B13" s="18" t="str">
        <x:v>DB/lưu trạng thái</x:v>
      </x:c>
      <x:c r="C13" s="35" t="str">
        <x:v>Chưa triển khai</x:v>
      </x:c>
      <x:c r="D13" s="18" t="str">
        <x:v>Chỉ có database_url; schema là ChatRequest/ChatResponse. graph.compile() không có lưu bền.</x:v>
      </x:c>
      <x:c r="E13" s="18" t="str">
        <x:v>src/config.py:30; models/schemas.py; graph.py:26</x:v>
      </x:c>
      <x:c r="F13" s="18" t="str">
        <x:v>Làm DB, schema run/step/evidence/approval và phục hồi.</x:v>
      </x:c>
      <x:c r="G13" s="18" t="str">
        <x:v>BA02, D102, D104, D202, D204</x:v>
      </x:c>
      <x:c r="H13" s="18" t="str">
        <x:v>Có chuỗi cấu hình không có nghĩa DB đã vận hành.</x:v>
      </x:c>
    </x:row>
    <x:row r="14" ht="90" customHeight="1">
      <x:c r="A14" s="18" t="str">
        <x:v>HT07</x:v>
      </x:c>
      <x:c r="B14" s="18" t="str">
        <x:v>UI và hai vai trò</x:v>
      </x:c>
      <x:c r="C14" s="35" t="str">
        <x:v>Chưa triển khai</x:v>
      </x:c>
      <x:c r="D14" s="18" t="str">
        <x:v>Không thấy mã frontend/package.json hay login/role endpoint trong phạm vi repo đã rà.</x:v>
      </x:c>
      <x:c r="E14" s="18" t="str">
        <x:v>src/api/routes.py; danh sách file repo</x:v>
      </x:c>
      <x:c r="F14" s="18" t="str">
        <x:v>Tạo UI và xác thực/phân quyền tại server.</x:v>
      </x:c>
      <x:c r="G14" s="18" t="str">
        <x:v>D202–D207</x:v>
      </x:c>
      <x:c r="H14" s="18" t="str">
        <x:v>Sơ đồ có frontend chỉ là tài liệu mẫu.</x:v>
      </x:c>
    </x:row>
    <x:row r="15" ht="90" customHeight="1">
      <x:c r="A15" s="18" t="str">
        <x:v>HT08</x:v>
      </x:c>
      <x:c r="B15" s="18" t="str">
        <x:v>HITL/Slack/Teams</x:v>
      </x:c>
      <x:c r="C15" s="35" t="str">
        <x:v>Chưa triển khai</x:v>
      </x:c>
      <x:c r="D15" s="18" t="str">
        <x:v>Chưa có approval schema/API, cổng thực thi hay tích hợp kênh phê duyệt.</x:v>
      </x:c>
      <x:c r="E15" s="18" t="str">
        <x:v>src/models/; src/api/; src/agents/</x:v>
      </x:c>
      <x:c r="F15" s="18" t="str">
        <x:v>Thiết kế chờ/duyệt/từ chối/hết hạn; khóa thực thi theo quyết định hợp lệ.</x:v>
      </x:c>
      <x:c r="G15" s="18" t="str">
        <x:v>BA07, D108–D109, D207–D209</x:v>
      </x:c>
      <x:c r="H15" s="18" t="str">
        <x:v>Áp dụng mọi hành động rủi ro, không chỉ Exploit.</x:v>
      </x:c>
    </x:row>
    <x:row r="16" ht="90" customHeight="1">
      <x:c r="A16" s="18" t="str">
        <x:v>HT09</x:v>
      </x:c>
      <x:c r="B16" s="18" t="str">
        <x:v>Bằng chứng/báo cáo</x:v>
      </x:c>
      <x:c r="C16" s="35" t="str">
        <x:v>Chưa triển khai</x:v>
      </x:c>
      <x:c r="D16" s="18" t="str">
        <x:v>Chưa có finding/evidence/report và chức năng xuất báo cáo pentest.</x:v>
      </x:c>
      <x:c r="E16" s="18" t="str">
        <x:v>src/models/schemas.py; src/api/routes.py</x:v>
      </x:c>
      <x:c r="F16" s="18" t="str">
        <x:v>Tạo bằng chứng từ công cụ và báo cáo có mức xác minh.</x:v>
      </x:c>
      <x:c r="G16" s="18" t="str">
        <x:v>BA10, D110, D210</x:v>
      </x:c>
      <x:c r="H16" s="18" t="str">
        <x:v>analysis của chat không thay cho bằng chứng kiểm thử.</x:v>
      </x:c>
    </x:row>
    <x:row r="17" ht="90" customHeight="1">
      <x:c r="A17" s="18" t="str">
        <x:v>HT10</x:v>
      </x:c>
      <x:c r="B17" s="18" t="str">
        <x:v>Kiểm thử và lint</x:v>
      </x:c>
      <x:c r="C17" s="35" t="str">
        <x:v>Đã chạy đạt</x:v>
      </x:c>
      <x:c r="D17" s="18" t="str">
        <x:v>pytest: 5 passed in 0.09s. Ruff: All checks passed. 3 test API nền và 2 test cấu trúc agent.</x:v>
      </x:c>
      <x:c r="E17" s="18" t="str">
        <x:v>tests/test_api/test_routes.py; tests/test_agents/test_graph.py; lệnh chạy local ngày 18/09/2026</x:v>
      </x:c>
      <x:c r="F17" s="18" t="str">
        <x:v>Giữ test nền, bổ sung quyền, HITL, trạng thái, lỗi, bằng chứng và luồng tích hợp.</x:v>
      </x:c>
      <x:c r="G17" s="18" t="str">
        <x:v>D106, D109, D114, D206, BA05–BA15</x:v>
      </x:c>
      <x:c r="H17" s="18" t="str">
        <x:v>Chưa đo coverage; 5 test không chứng minh chất lượng pentest.</x:v>
      </x:c>
    </x:row>
    <x:row r="18" ht="90" customHeight="1">
      <x:c r="A18" s="18" t="str">
        <x:v>HT11</x:v>
      </x:c>
      <x:c r="B18" s="18" t="str">
        <x:v>Lỗi API</x:v>
      </x:c>
      <x:c r="C18" s="35" t="str">
        <x:v>Hành vi đã tái hiện</x:v>
      </x:c>
      <x:c r="D18" s="18" t="str">
        <x:v>Khi agent ném lỗi giả lập, API 500 trả nguyên AUDIT_SYNTHETIC_ERROR; code dùng detail=str(e).</x:v>
      </x:c>
      <x:c r="E18" s="18" t="str">
        <x:v>src/api/routes.py:19; audit-runtime.json</x:v>
      </x:c>
      <x:c r="F18" s="18" t="str">
        <x:v>Trả mã/thông báo an toàn, lưu chi tiết ở log có kiểm soát; bỏ analysis nội bộ khỏi API sản phẩm.</x:v>
      </x:c>
      <x:c r="G18" s="18" t="str">
        <x:v>D202, D211</x:v>
      </x:c>
      <x:c r="H18" s="18" t="str">
        <x:v>Chỉ dùng lỗi giả lập, không dùng bí mật thật.</x:v>
      </x:c>
    </x:row>
    <x:row r="19" ht="90" customHeight="1">
      <x:c r="A19" s="18" t="str">
        <x:v>HT12</x:v>
      </x:c>
      <x:c r="B19" s="18" t="str">
        <x:v>Docker</x:v>
      </x:c>
      <x:c r="C19" s="35" t="str">
        <x:v>Cần kiểm chứng</x:v>
      </x:c>
      <x:c r="D19" s="18" t="str">
        <x:v>Dockerfile cài/copy thư viện vào /root/.local nhưng chạy appuser. Không tìm thấy Docker trong PATH ở phiên rà.</x:v>
      </x:c>
      <x:c r="E19" s="18" t="str">
        <x:v>Dockerfile:7,15–16,27; Get-Command docker không có kết quả</x:v>
      </x:c>
      <x:c r="F19" s="18" t="str">
        <x:v>Kiểm chứng build/run non-root, sửa đường cài nếu lỗi và lưu bằng chứng trước deploy.</x:v>
      </x:c>
      <x:c r="G19" s="18" t="str">
        <x:v>D201, D203</x:v>
      </x:c>
      <x:c r="H19" s="18" t="str">
        <x:v>Đây là nguy cơ từ đọc mã; chưa kết luận container đã chạy lỗi.</x:v>
      </x:c>
    </x:row>
    <x:row r="20" ht="90" customHeight="1">
      <x:c r="A20" s="18" t="str">
        <x:v>HT13</x:v>
      </x:c>
      <x:c r="B20" s="18" t="str">
        <x:v>CI và triển khai</x:v>
      </x:c>
      <x:c r="C20" s="35" t="str">
        <x:v>Có CI mẫu</x:v>
      </x:c>
      <x:c r="D20" s="18" t="str">
        <x:v>ci.yml có cài dependencies, ruff và pytest. Chưa có job build container hoặc triển khai. Không có live URL xác minh được trong hồ sơ.</x:v>
      </x:c>
      <x:c r="E20" s="18" t="str">
        <x:v>.github/workflows/ci.yml; README.md</x:v>
      </x:c>
      <x:c r="F20" s="18" t="str">
        <x:v>Tận dụng CI, thêm build và quy trình deploy; xác minh URL từ thiết bị khác.</x:v>
      </x:c>
      <x:c r="G20" s="18" t="str">
        <x:v>D206, D212, D215</x:v>
      </x:c>
      <x:c r="H20" s="18" t="str">
        <x:v>Chưa kiểm tra lịch sử GitHub Actions/cloud; không khẳng định CI từ xa đang xanh.</x:v>
      </x:c>
    </x:row>
    <x:row r="21" ht="90" customHeight="1">
      <x:c r="A21" s="18" t="str">
        <x:v>HT14</x:v>
      </x:c>
      <x:c r="B21" s="18" t="str">
        <x:v>Đánh giá AI</x:v>
      </x:c>
      <x:c r="C21" s="35" t="str">
        <x:v>Tài liệu mẫu</x:v>
      </x:c>
      <x:c r="D21" s="18" t="str">
        <x:v>eval/results/report.md chỉ có target &gt;80%, &lt;3s… và Actual trống. Chưa thấy dataset/runner đánh giá.</x:v>
      </x:c>
      <x:c r="E21" s="18" t="str">
        <x:v>eval/results/report.md; danh sách file eval/</x:v>
      </x:c>
      <x:c r="F21" s="18" t="str">
        <x:v>Tạo tập có nhãn, runner và số đo phù hợp bài pentest.</x:v>
      </x:c>
      <x:c r="G21" s="18" t="str">
        <x:v>BA04, BA12, D112</x:v>
      </x:c>
      <x:c r="H21" s="18" t="str">
        <x:v>Target mẫu không phải cam kết hay kết quả thực tế của nhóm.</x:v>
      </x:c>
    </x:row>
    <x:row r="22" ht="90" customHeight="1">
      <x:c r="A22" s="18" t="str">
        <x:v>HT15</x:v>
      </x:c>
      <x:c r="B22" s="18" t="str">
        <x:v>Hồ sơ dự án</x:v>
      </x:c>
      <x:c r="C22" s="35" t="str">
        <x:v>Chủ yếu placeholder</x:v>
      </x:c>
      <x:c r="D22" s="18" t="str">
        <x:v>README là hướng dẫn AI20K; kiến trúc, journal, worklog và presentation còn là mẫu. Boilerplate có [x] chưa có bằng chứng dự án.</x:v>
      </x:c>
      <x:c r="E22" s="18" t="str">
        <x:v>README.md; ARCHITECTURE.md; docs/architecture_diagram.md; JOURNAL.md; WORKLOG.md; presentation/README.md</x:v>
      </x:c>
      <x:c r="F22" s="18" t="str">
        <x:v>Viết tài liệu PentestSyndicate thực tế, cập nhật đều trong quá trình làm.</x:v>
      </x:c>
      <x:c r="G22" s="18" t="str">
        <x:v>PM03, PM16–PM18, BA16–BA18, D115, D216</x:v>
      </x:c>
      <x:c r="H22" s="18" t="str">
        <x:v>Không tính tài liệu mẫu là deliverable đã hoàn thành.</x:v>
      </x:c>
    </x:row>
    <x:row r="23" ht="90" customHeight="1">
      <x:c r="A23" s="18" t="str">
        <x:v>HT16</x:v>
      </x:c>
      <x:c r="B23" s="18" t="str">
        <x:v>Hạn nộp/quy định</x:v>
      </x:c>
      <x:c r="C23" s="35" t="str">
        <x:v>Cần nhóm/BTC xác nhận</x:v>
      </x:c>
      <x:c r="D23" s="18" t="str">
        <x:v>Repo có lộ trình học 6 tuần, chưa thấy ngày nộp thật. Chương 9 yêu cầu PDF trong khi presentation nhắc PPTX; ảnh đề có ràng buộc riêng.</x:v>
      </x:c>
      <x:c r="E23" s="18" t="str">
        <x:v>docs/guide/chapter-01.md; chapter-09.md; presentation/README.md; ảnh đề tài</x:v>
      </x:c>
      <x:c r="F23" s="18" t="str">
        <x:v>Chốt ngày thật và định dạng; ưu tiên yêu cầu BTC đã xác nhận, ghi rõ phần gợi ý.</x:v>
      </x:c>
      <x:c r="G23" s="18" t="str">
        <x:v>PM01, PM02, PM05</x:v>
      </x:c>
      <x:c r="H23" s="18" t="str">
        <x:v>Không tự coi 30/10/2026 là deadline BTC.</x:v>
      </x:c>
    </x:row>
    <x:row r="24" ht="90" customHeight="1">
      <x:c r="A24" s="18" t="str">
        <x:v>HT17</x:v>
      </x:c>
      <x:c r="B24" s="18" t="str">
        <x:v>Khả năng tái lập</x:v>
      </x:c>
      <x:c r="C24" s="35" t="str">
        <x:v>Cần hoàn thiện</x:v>
      </x:c>
      <x:c r="D24" s="18" t="str">
        <x:v>requirements.txt dùng &gt;=; môi trường hiện tại chạy test nhưng chưa có bản khóa dependency được chứng minh cài sạch.</x:v>
      </x:c>
      <x:c r="E24" s="18" t="str">
        <x:v>requirements.txt; .venv đang có</x:v>
      </x:c>
      <x:c r="F24" s="18" t="str">
        <x:v>Ghi/pin bộ phiên bản đã thử; kiểm tra cài lại và build.</x:v>
      </x:c>
      <x:c r="G24" s="18" t="str">
        <x:v>D201, D216</x:v>
      </x:c>
      <x:c r="H24" s="18" t="str">
        <x:v>Không nâng/hạ dependencies trong lần lập kế hoạch này.</x:v>
      </x:c>
    </x:row>
    <x:row r="25" ht="90" customHeight="1">
      <x:c r="A25" s="18" t="str">
        <x:v>HT18</x:v>
      </x:c>
      <x:c r="B25" s="18" t="str">
        <x:v>Log AI/vận hành</x:v>
      </x:c>
      <x:c r="C25" s="35" t="str">
        <x:v>Chưa có bằng chứng sản phẩm</x:v>
      </x:c>
      <x:c r="D25" s="18" t="str">
        <x:v>Có hooks và .ai-log cho công cụ phát triển; main.py chỉ print khởi động. Chưa có trace run pentest/latency/cost thực tế.</x:v>
      </x:c>
      <x:c r="E25" s="18" t="str">
        <x:v>src/main.py; thư mục hooks/.ai-log chỉ kiểm kê tên</x:v>
      </x:c>
      <x:c r="F25" s="18" t="str">
        <x:v>Phân biệt nhật ký dùng AI viết code với trace sản phẩm; bổ sung đo theo run.</x:v>
      </x:c>
      <x:c r="G25" s="18" t="str">
        <x:v>D112, D212, BG04</x:v>
      </x:c>
      <x:c r="H25" s="18" t="str">
        <x:v>Không đọc nội dung log cá nhân hoặc gửi log ra ngoài.</x:v>
      </x:c>
    </x:row>
    <x:row r="26" ht="24" customHeight="1">
      <x:c r="A26" s="1"/>
      <x:c r="B26" s="1"/>
      <x:c r="C26" s="1"/>
      <x:c r="D26" s="1"/>
      <x:c r="E26" s="1"/>
      <x:c r="F26" s="1"/>
      <x:c r="G26" s="1"/>
      <x:c r="H26" s="1"/>
    </x:row>
    <x:row r="27" ht="24" customHeight="1">
      <x:c r="A27" s="1" t="str">
        <x:v>Dữ kiện, nhận định từ mã và việc chưa kiểm chứng được phân biệt trong cột Hiện trạng/Giới hạn. Không suy ra % hoàn thành từ số file.</x:v>
      </x:c>
      <x:c r="B27" s="1"/>
      <x:c r="C27" s="1"/>
      <x:c r="D27" s="1"/>
      <x:c r="E27" s="1"/>
      <x:c r="F27" s="1"/>
      <x:c r="G27" s="1"/>
      <x:c r="H27" s="1"/>
    </x:row>
    <x:row r="28" ht="24" customHeight="1">
      <x:c r="A28" s="1"/>
      <x:c r="B28" s="1"/>
      <x:c r="C28" s="1"/>
      <x:c r="D28" s="1"/>
      <x:c r="E28" s="1"/>
      <x:c r="F28" s="1"/>
      <x:c r="G28" s="1"/>
      <x:c r="H28" s="1"/>
    </x:row>
  </x:sheetData>
  <x:pageMargins left="0.7" right="0.7" top="0.75" bottom="0.75" header="0.3" footer="0.3"/>
  <x:tableParts count="1">
    <x:tablePart xmlns:r="http://schemas.openxmlformats.org/officeDocument/2006/relationships" r:id="R61bedb63f20241f1"/>
  </x:tableParts>
</x:worksheet>
</file>